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BuÇalışmaKitabı" autoCompressPictures="0" defaultThemeVersion="164011"/>
  <mc:AlternateContent xmlns:mc="http://schemas.openxmlformats.org/markup-compatibility/2006">
    <mc:Choice Requires="x15">
      <x15ac:absPath xmlns:x15ac="http://schemas.microsoft.com/office/spreadsheetml/2010/11/ac" url="C:\Users\userpc\Desktop\"/>
    </mc:Choice>
  </mc:AlternateContent>
  <bookViews>
    <workbookView xWindow="-120" yWindow="-120" windowWidth="29040" windowHeight="15720" tabRatio="500"/>
  </bookViews>
  <sheets>
    <sheet name="PlanAktarılacakSayfa" sheetId="3" r:id="rId1"/>
    <sheet name="Kriter" sheetId="6" state="veryHidden" r:id="rId2"/>
    <sheet name="Sayfa1" sheetId="7" state="veryHidden" r:id="rId3"/>
    <sheet name="Hedef Girişi" sheetId="4" state="veryHidden" r:id="rId4"/>
    <sheet name="Düzeyler" sheetId="2" state="veryHidden" r:id="rId5"/>
    <sheet name="Hedef Listesi" sheetId="5" state="veryHidden" r:id="rId6"/>
    <sheet name="SunumSistemi" sheetId="11" state="veryHidden" r:id="rId7"/>
  </sheets>
  <definedNames>
    <definedName name="_xlnm._FilterDatabase" localSheetId="5" hidden="1">'Hedef Listesi'!$A$1:$W$72</definedName>
    <definedName name="_xlnm._FilterDatabase" localSheetId="1" hidden="1">Kriter!$A$1:$L$37</definedName>
    <definedName name="_xlnm._FilterDatabase" localSheetId="0" hidden="1">PlanAktarılacakSayfa!$A$2:$I$74</definedName>
    <definedName name="_xlnm._FilterDatabase" localSheetId="6" hidden="1">SunumSistemi!$A$2:$F$1001</definedName>
    <definedName name="_xlnm.Print_Area" localSheetId="1">Kriter!$A$1:$M$39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5" l="1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S4" i="2"/>
  <c r="S9" i="2"/>
  <c r="S10" i="2"/>
  <c r="S11" i="2"/>
  <c r="P4" i="2"/>
  <c r="P9" i="2"/>
  <c r="P10" i="2"/>
  <c r="P11" i="2"/>
  <c r="M4" i="2"/>
  <c r="M9" i="2"/>
  <c r="M10" i="2"/>
  <c r="M11" i="2"/>
  <c r="J4" i="2"/>
  <c r="J9" i="2"/>
  <c r="J10" i="2"/>
  <c r="J11" i="2"/>
  <c r="G4" i="2"/>
  <c r="G9" i="2"/>
  <c r="G10" i="2"/>
  <c r="G11" i="2"/>
  <c r="D9" i="2"/>
  <c r="D10" i="2"/>
  <c r="D11" i="2"/>
  <c r="D4" i="2"/>
  <c r="L19" i="6"/>
  <c r="L18" i="6"/>
  <c r="L17" i="6"/>
  <c r="L16" i="6"/>
  <c r="L11" i="6"/>
  <c r="L10" i="6"/>
  <c r="L9" i="6"/>
  <c r="L8" i="6"/>
  <c r="F6" i="4" l="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O3" i="11" s="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P3" i="11" s="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Q3" i="11" s="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F461" i="11"/>
  <c r="F462" i="11"/>
  <c r="F463" i="11"/>
  <c r="F464" i="11"/>
  <c r="F465" i="11"/>
  <c r="F466" i="11"/>
  <c r="F467" i="11"/>
  <c r="F468" i="11"/>
  <c r="F469" i="11"/>
  <c r="F470" i="11"/>
  <c r="F471" i="11"/>
  <c r="F472" i="11"/>
  <c r="F473" i="11"/>
  <c r="F474" i="11"/>
  <c r="F475" i="11"/>
  <c r="F476" i="11"/>
  <c r="F477" i="11"/>
  <c r="F478" i="11"/>
  <c r="F479" i="11"/>
  <c r="F480" i="11"/>
  <c r="F481" i="11"/>
  <c r="F482" i="11"/>
  <c r="F483" i="11"/>
  <c r="F484" i="11"/>
  <c r="F485" i="11"/>
  <c r="F486" i="11"/>
  <c r="F487" i="11"/>
  <c r="F488" i="11"/>
  <c r="F489" i="11"/>
  <c r="F490" i="11"/>
  <c r="F491" i="11"/>
  <c r="R3" i="11" s="1"/>
  <c r="F492" i="11"/>
  <c r="F493" i="11"/>
  <c r="F494" i="11"/>
  <c r="F495" i="11"/>
  <c r="F496" i="11"/>
  <c r="F497" i="11"/>
  <c r="F498" i="11"/>
  <c r="F499" i="11"/>
  <c r="F500" i="11"/>
  <c r="F501" i="11"/>
  <c r="F502" i="11"/>
  <c r="F503" i="11"/>
  <c r="F504" i="11"/>
  <c r="F505" i="11"/>
  <c r="F506" i="11"/>
  <c r="F507" i="11"/>
  <c r="F508" i="11"/>
  <c r="F509" i="11"/>
  <c r="F510" i="11"/>
  <c r="F511" i="11"/>
  <c r="F512" i="11"/>
  <c r="F513" i="11"/>
  <c r="F514" i="11"/>
  <c r="F515" i="11"/>
  <c r="F516" i="11"/>
  <c r="F517" i="11"/>
  <c r="F518" i="11"/>
  <c r="F519" i="11"/>
  <c r="F520" i="11"/>
  <c r="F521" i="11"/>
  <c r="F522" i="11"/>
  <c r="F523" i="11"/>
  <c r="F524" i="11"/>
  <c r="F525" i="11"/>
  <c r="F526" i="11"/>
  <c r="F527" i="11"/>
  <c r="F528" i="11"/>
  <c r="F529" i="11"/>
  <c r="F530" i="11"/>
  <c r="F531" i="11"/>
  <c r="F532" i="11"/>
  <c r="F533" i="11"/>
  <c r="F534" i="11"/>
  <c r="F535" i="11"/>
  <c r="F536" i="11"/>
  <c r="F537" i="11"/>
  <c r="F538" i="11"/>
  <c r="F539" i="11"/>
  <c r="F540" i="11"/>
  <c r="F541" i="11"/>
  <c r="F542" i="11"/>
  <c r="F543" i="11"/>
  <c r="F544" i="11"/>
  <c r="F545" i="11"/>
  <c r="F546" i="11"/>
  <c r="F547" i="11"/>
  <c r="F548" i="11"/>
  <c r="F549" i="11"/>
  <c r="F550" i="11"/>
  <c r="F551" i="11"/>
  <c r="F552" i="11"/>
  <c r="F553" i="11"/>
  <c r="F554" i="11"/>
  <c r="F555" i="11"/>
  <c r="F556" i="11"/>
  <c r="F557" i="11"/>
  <c r="F558" i="11"/>
  <c r="F559" i="11"/>
  <c r="F560" i="11"/>
  <c r="F561" i="11"/>
  <c r="F562" i="11"/>
  <c r="F563" i="11"/>
  <c r="F564" i="11"/>
  <c r="F565" i="11"/>
  <c r="F566" i="11"/>
  <c r="F567" i="11"/>
  <c r="F568" i="11"/>
  <c r="F569" i="11"/>
  <c r="F570" i="11"/>
  <c r="F571" i="11"/>
  <c r="F572" i="11"/>
  <c r="F573" i="11"/>
  <c r="F574" i="11"/>
  <c r="F575" i="11"/>
  <c r="F576" i="11"/>
  <c r="F577" i="11"/>
  <c r="F578" i="11"/>
  <c r="F579" i="11"/>
  <c r="F580" i="11"/>
  <c r="F581" i="11"/>
  <c r="F582" i="11"/>
  <c r="F583" i="11"/>
  <c r="F584" i="11"/>
  <c r="F585" i="11"/>
  <c r="F586" i="11"/>
  <c r="F587" i="11"/>
  <c r="F588" i="11"/>
  <c r="F589" i="11"/>
  <c r="F590" i="11"/>
  <c r="F591" i="11"/>
  <c r="F592" i="11"/>
  <c r="F593" i="11"/>
  <c r="F594" i="11"/>
  <c r="F595" i="11"/>
  <c r="F596" i="11"/>
  <c r="F597" i="11"/>
  <c r="F598" i="11"/>
  <c r="F599" i="11"/>
  <c r="F600" i="11"/>
  <c r="F601" i="11"/>
  <c r="F602" i="11"/>
  <c r="F603" i="11"/>
  <c r="F604" i="11"/>
  <c r="F605" i="11"/>
  <c r="F606" i="11"/>
  <c r="F607" i="11"/>
  <c r="F608" i="11"/>
  <c r="F609" i="11"/>
  <c r="F610" i="11"/>
  <c r="F611" i="11"/>
  <c r="F612" i="11"/>
  <c r="F613" i="11"/>
  <c r="F614" i="11"/>
  <c r="F615" i="11"/>
  <c r="F616" i="11"/>
  <c r="F617" i="11"/>
  <c r="F618" i="11"/>
  <c r="F619" i="11"/>
  <c r="F620" i="11"/>
  <c r="F621" i="11"/>
  <c r="F622" i="11"/>
  <c r="F623" i="11"/>
  <c r="F624" i="11"/>
  <c r="F625" i="11"/>
  <c r="F626" i="11"/>
  <c r="F627" i="11"/>
  <c r="F628" i="11"/>
  <c r="F629" i="11"/>
  <c r="F630" i="11"/>
  <c r="F631" i="11"/>
  <c r="F632" i="11"/>
  <c r="F633" i="11"/>
  <c r="F634" i="11"/>
  <c r="F635" i="11"/>
  <c r="F636" i="11"/>
  <c r="F637" i="11"/>
  <c r="F638" i="11"/>
  <c r="F639" i="11"/>
  <c r="F640" i="11"/>
  <c r="F641" i="11"/>
  <c r="F642" i="11"/>
  <c r="F643" i="11"/>
  <c r="F644" i="11"/>
  <c r="F645" i="11"/>
  <c r="F646" i="11"/>
  <c r="F647" i="11"/>
  <c r="F648" i="11"/>
  <c r="F649" i="11"/>
  <c r="F650" i="11"/>
  <c r="F651" i="11"/>
  <c r="F652" i="11"/>
  <c r="F653" i="11"/>
  <c r="F654" i="11"/>
  <c r="F655" i="11"/>
  <c r="F656" i="11"/>
  <c r="F657" i="11"/>
  <c r="F658" i="11"/>
  <c r="F659" i="11"/>
  <c r="F660" i="11"/>
  <c r="F661" i="11"/>
  <c r="F662" i="11"/>
  <c r="F663" i="11"/>
  <c r="F664" i="11"/>
  <c r="F665" i="11"/>
  <c r="F666" i="11"/>
  <c r="F667" i="11"/>
  <c r="F668" i="11"/>
  <c r="F669" i="11"/>
  <c r="F670" i="11"/>
  <c r="F671" i="11"/>
  <c r="F672" i="11"/>
  <c r="F673" i="11"/>
  <c r="F674" i="11"/>
  <c r="F675" i="11"/>
  <c r="F676" i="11"/>
  <c r="F677" i="11"/>
  <c r="F678" i="11"/>
  <c r="F679" i="11"/>
  <c r="F680" i="11"/>
  <c r="F681" i="11"/>
  <c r="F682" i="11"/>
  <c r="F683" i="11"/>
  <c r="F684" i="11"/>
  <c r="F685" i="11"/>
  <c r="F686" i="11"/>
  <c r="F687" i="11"/>
  <c r="F688" i="11"/>
  <c r="F689" i="11"/>
  <c r="F690" i="11"/>
  <c r="F691" i="11"/>
  <c r="F692" i="11"/>
  <c r="F693" i="11"/>
  <c r="F694" i="11"/>
  <c r="F695" i="11"/>
  <c r="F696" i="11"/>
  <c r="F697" i="11"/>
  <c r="F698" i="11"/>
  <c r="F699" i="11"/>
  <c r="F700" i="11"/>
  <c r="F701" i="11"/>
  <c r="F702" i="11"/>
  <c r="F703" i="11"/>
  <c r="F704" i="11"/>
  <c r="F705" i="11"/>
  <c r="F706" i="11"/>
  <c r="F707" i="11"/>
  <c r="F708" i="11"/>
  <c r="F709" i="11"/>
  <c r="F710" i="11"/>
  <c r="F711" i="11"/>
  <c r="F712" i="11"/>
  <c r="F713" i="11"/>
  <c r="F714" i="11"/>
  <c r="F715" i="11"/>
  <c r="F716" i="11"/>
  <c r="F717" i="11"/>
  <c r="F718" i="11"/>
  <c r="F719" i="11"/>
  <c r="F720" i="11"/>
  <c r="F721" i="11"/>
  <c r="F722" i="11"/>
  <c r="F723" i="11"/>
  <c r="F724" i="11"/>
  <c r="F725" i="11"/>
  <c r="F726" i="11"/>
  <c r="F727" i="11"/>
  <c r="F728" i="11"/>
  <c r="F729" i="11"/>
  <c r="F730" i="11"/>
  <c r="F731" i="11"/>
  <c r="F732" i="11"/>
  <c r="F733" i="11"/>
  <c r="F734" i="11"/>
  <c r="F735" i="11"/>
  <c r="F736" i="11"/>
  <c r="F737" i="11"/>
  <c r="F738" i="11"/>
  <c r="F739" i="11"/>
  <c r="F740" i="11"/>
  <c r="F741" i="11"/>
  <c r="F742" i="11"/>
  <c r="F743" i="11"/>
  <c r="F744" i="11"/>
  <c r="F745" i="11"/>
  <c r="F746" i="11"/>
  <c r="F747" i="11"/>
  <c r="F748" i="11"/>
  <c r="F749" i="11"/>
  <c r="F750" i="11"/>
  <c r="F751" i="11"/>
  <c r="F752" i="11"/>
  <c r="F753" i="11"/>
  <c r="F754" i="11"/>
  <c r="F755" i="11"/>
  <c r="F756" i="11"/>
  <c r="F757" i="11"/>
  <c r="F758" i="11"/>
  <c r="F759" i="11"/>
  <c r="F760" i="11"/>
  <c r="F761" i="11"/>
  <c r="F762" i="11"/>
  <c r="F763" i="11"/>
  <c r="F764" i="11"/>
  <c r="F765" i="11"/>
  <c r="F766" i="11"/>
  <c r="F767" i="11"/>
  <c r="F768" i="11"/>
  <c r="F769" i="11"/>
  <c r="F770" i="11"/>
  <c r="F771" i="11"/>
  <c r="F772" i="11"/>
  <c r="F773" i="11"/>
  <c r="F774" i="11"/>
  <c r="F775" i="11"/>
  <c r="F776" i="11"/>
  <c r="F777" i="11"/>
  <c r="F778" i="11"/>
  <c r="F779" i="11"/>
  <c r="F780" i="11"/>
  <c r="F781" i="11"/>
  <c r="F782" i="11"/>
  <c r="F783" i="11"/>
  <c r="F784" i="11"/>
  <c r="F785" i="11"/>
  <c r="F786" i="11"/>
  <c r="F787" i="11"/>
  <c r="F788" i="11"/>
  <c r="F789" i="11"/>
  <c r="F790" i="11"/>
  <c r="F791" i="11"/>
  <c r="F792" i="11"/>
  <c r="F793" i="11"/>
  <c r="F794" i="11"/>
  <c r="F795" i="11"/>
  <c r="F796" i="11"/>
  <c r="F797" i="11"/>
  <c r="F798" i="11"/>
  <c r="F799" i="11"/>
  <c r="F800" i="11"/>
  <c r="F801" i="11"/>
  <c r="F802" i="11"/>
  <c r="F803" i="11"/>
  <c r="F804" i="11"/>
  <c r="F805" i="11"/>
  <c r="F806" i="11"/>
  <c r="F807" i="11"/>
  <c r="F808" i="11"/>
  <c r="F809" i="11"/>
  <c r="F810" i="11"/>
  <c r="F811" i="11"/>
  <c r="F812" i="11"/>
  <c r="F813" i="11"/>
  <c r="F814" i="11"/>
  <c r="F815" i="11"/>
  <c r="F816" i="11"/>
  <c r="F817" i="11"/>
  <c r="F818" i="11"/>
  <c r="F819" i="11"/>
  <c r="F820" i="11"/>
  <c r="F821" i="11"/>
  <c r="F822" i="11"/>
  <c r="F823" i="11"/>
  <c r="F824" i="11"/>
  <c r="F825" i="11"/>
  <c r="F826" i="11"/>
  <c r="F827" i="11"/>
  <c r="F828" i="11"/>
  <c r="F829" i="11"/>
  <c r="F830" i="11"/>
  <c r="F831" i="11"/>
  <c r="F832" i="11"/>
  <c r="F833" i="11"/>
  <c r="F834" i="11"/>
  <c r="F835" i="11"/>
  <c r="F836" i="11"/>
  <c r="F837" i="11"/>
  <c r="F838" i="11"/>
  <c r="F839" i="11"/>
  <c r="F840" i="11"/>
  <c r="F841" i="11"/>
  <c r="F842" i="11"/>
  <c r="F843" i="11"/>
  <c r="F844" i="11"/>
  <c r="F845" i="11"/>
  <c r="F846" i="11"/>
  <c r="F847" i="11"/>
  <c r="F848" i="11"/>
  <c r="F849" i="11"/>
  <c r="F850" i="11"/>
  <c r="F851" i="11"/>
  <c r="F852" i="11"/>
  <c r="F853" i="11"/>
  <c r="F854" i="11"/>
  <c r="F855" i="11"/>
  <c r="F856" i="11"/>
  <c r="F857" i="11"/>
  <c r="F858" i="11"/>
  <c r="F859" i="11"/>
  <c r="F860" i="11"/>
  <c r="F861" i="11"/>
  <c r="F862" i="11"/>
  <c r="F863" i="11"/>
  <c r="F864" i="11"/>
  <c r="F865" i="11"/>
  <c r="F866" i="11"/>
  <c r="F867" i="11"/>
  <c r="F868" i="11"/>
  <c r="F869" i="11"/>
  <c r="F870" i="11"/>
  <c r="F871" i="11"/>
  <c r="F872" i="11"/>
  <c r="F873" i="11"/>
  <c r="F874" i="11"/>
  <c r="F875" i="11"/>
  <c r="F876" i="11"/>
  <c r="F877" i="11"/>
  <c r="F878" i="11"/>
  <c r="F879" i="11"/>
  <c r="F880" i="11"/>
  <c r="F881" i="11"/>
  <c r="F882" i="11"/>
  <c r="F883" i="11"/>
  <c r="F884" i="11"/>
  <c r="F885" i="11"/>
  <c r="F886" i="11"/>
  <c r="F887" i="11"/>
  <c r="F888" i="11"/>
  <c r="F889" i="11"/>
  <c r="F890" i="11"/>
  <c r="F891" i="11"/>
  <c r="F892" i="11"/>
  <c r="F893" i="11"/>
  <c r="F894" i="11"/>
  <c r="F895" i="11"/>
  <c r="F896" i="11"/>
  <c r="F897" i="11"/>
  <c r="F898" i="11"/>
  <c r="F899" i="11"/>
  <c r="F900" i="11"/>
  <c r="F901" i="11"/>
  <c r="F902" i="11"/>
  <c r="F903" i="11"/>
  <c r="F904" i="11"/>
  <c r="F905" i="11"/>
  <c r="F906" i="11"/>
  <c r="F907" i="11"/>
  <c r="F908" i="11"/>
  <c r="F909" i="11"/>
  <c r="F910" i="11"/>
  <c r="F911" i="11"/>
  <c r="F912" i="11"/>
  <c r="F913" i="11"/>
  <c r="F914" i="11"/>
  <c r="F915" i="11"/>
  <c r="F916" i="11"/>
  <c r="F917" i="11"/>
  <c r="F918" i="11"/>
  <c r="F919" i="11"/>
  <c r="F920" i="11"/>
  <c r="F921" i="11"/>
  <c r="F922" i="11"/>
  <c r="F923" i="11"/>
  <c r="F924" i="11"/>
  <c r="F925" i="11"/>
  <c r="F926" i="11"/>
  <c r="F927" i="11"/>
  <c r="F928" i="11"/>
  <c r="F929" i="11"/>
  <c r="F930" i="11"/>
  <c r="F931" i="11"/>
  <c r="F932" i="11"/>
  <c r="F933" i="11"/>
  <c r="F934" i="11"/>
  <c r="F935" i="11"/>
  <c r="F936" i="11"/>
  <c r="F937" i="11"/>
  <c r="F938" i="11"/>
  <c r="F939" i="11"/>
  <c r="F940" i="11"/>
  <c r="F941" i="11"/>
  <c r="F942" i="11"/>
  <c r="F943" i="11"/>
  <c r="F944" i="11"/>
  <c r="F945" i="11"/>
  <c r="F946" i="11"/>
  <c r="F947" i="11"/>
  <c r="F948" i="11"/>
  <c r="F949" i="11"/>
  <c r="F950" i="11"/>
  <c r="F951" i="11"/>
  <c r="F952" i="11"/>
  <c r="F953" i="11"/>
  <c r="F954" i="11"/>
  <c r="F955" i="11"/>
  <c r="F956" i="11"/>
  <c r="F957" i="11"/>
  <c r="F958" i="11"/>
  <c r="F959" i="11"/>
  <c r="F960" i="11"/>
  <c r="F961" i="11"/>
  <c r="F962" i="11"/>
  <c r="F963" i="11"/>
  <c r="F964" i="11"/>
  <c r="F965" i="11"/>
  <c r="F966" i="11"/>
  <c r="F967" i="11"/>
  <c r="F968" i="11"/>
  <c r="F969" i="11"/>
  <c r="F970" i="11"/>
  <c r="F971" i="11"/>
  <c r="F972" i="11"/>
  <c r="F973" i="11"/>
  <c r="F974" i="11"/>
  <c r="F975" i="11"/>
  <c r="F976" i="11"/>
  <c r="F977" i="11"/>
  <c r="F978" i="11"/>
  <c r="F979" i="11"/>
  <c r="F980" i="11"/>
  <c r="F981" i="11"/>
  <c r="F982" i="11"/>
  <c r="F983" i="11"/>
  <c r="F984" i="11"/>
  <c r="F985" i="11"/>
  <c r="F986" i="11"/>
  <c r="F987" i="11"/>
  <c r="F988" i="11"/>
  <c r="F989" i="11"/>
  <c r="F990" i="11"/>
  <c r="F991" i="11"/>
  <c r="F992" i="11"/>
  <c r="F993" i="11"/>
  <c r="F994" i="11"/>
  <c r="F995" i="11"/>
  <c r="F996" i="11"/>
  <c r="F997" i="11"/>
  <c r="F998" i="11"/>
  <c r="F999" i="11"/>
  <c r="F1000" i="11"/>
  <c r="F1001" i="11"/>
  <c r="F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4" i="11"/>
  <c r="B41" i="5"/>
  <c r="B40" i="5"/>
  <c r="B16" i="4"/>
  <c r="B15" i="4"/>
  <c r="K6" i="4" a="1"/>
  <c r="J6" i="4" a="1"/>
  <c r="L6" i="4" a="1"/>
  <c r="M39" i="6" l="1"/>
  <c r="K39" i="6" s="1"/>
  <c r="L39" i="6" s="1"/>
  <c r="M3" i="11"/>
  <c r="N3" i="11"/>
  <c r="L3" i="11"/>
  <c r="K3" i="11"/>
  <c r="L6" i="4"/>
  <c r="K6" i="4"/>
  <c r="J6" i="4"/>
  <c r="H4" i="11"/>
  <c r="H3" i="11"/>
  <c r="C3" i="11"/>
  <c r="F3" i="11"/>
  <c r="M38" i="6" l="1"/>
  <c r="K38" i="6" s="1"/>
  <c r="L38" i="6" s="1"/>
  <c r="B10" i="4"/>
  <c r="B11" i="4"/>
  <c r="B12" i="4"/>
  <c r="C12" i="4"/>
  <c r="C10" i="4"/>
  <c r="C11" i="4"/>
  <c r="W24" i="2" l="1"/>
  <c r="W26" i="2" s="1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M36" i="6" l="1"/>
  <c r="M36" i="5"/>
  <c r="AO6" i="2"/>
  <c r="AO8" i="2"/>
  <c r="AO7" i="2"/>
  <c r="AO5" i="2"/>
  <c r="U24" i="2"/>
  <c r="T24" i="2"/>
  <c r="U23" i="2"/>
  <c r="T23" i="2"/>
  <c r="U22" i="2"/>
  <c r="T22" i="2"/>
  <c r="U21" i="2"/>
  <c r="T21" i="2"/>
  <c r="U20" i="2"/>
  <c r="U12" i="2" s="1"/>
  <c r="T20" i="2"/>
  <c r="U19" i="2"/>
  <c r="T19" i="2"/>
  <c r="U18" i="2"/>
  <c r="T18" i="2"/>
  <c r="U17" i="2"/>
  <c r="T17" i="2"/>
  <c r="U16" i="2"/>
  <c r="U8" i="2" s="1"/>
  <c r="T16" i="2"/>
  <c r="U15" i="2"/>
  <c r="U7" i="2" s="1"/>
  <c r="T15" i="2"/>
  <c r="U14" i="2"/>
  <c r="U6" i="2" s="1"/>
  <c r="T14" i="2"/>
  <c r="T6" i="2" s="1"/>
  <c r="U13" i="2"/>
  <c r="U5" i="2" s="1"/>
  <c r="T13" i="2"/>
  <c r="T12" i="2"/>
  <c r="U11" i="2"/>
  <c r="T11" i="2"/>
  <c r="U10" i="2"/>
  <c r="T10" i="2"/>
  <c r="U9" i="2"/>
  <c r="T9" i="2"/>
  <c r="T7" i="2"/>
  <c r="U4" i="2"/>
  <c r="T4" i="2"/>
  <c r="R24" i="2"/>
  <c r="Q24" i="2"/>
  <c r="R23" i="2"/>
  <c r="Q23" i="2"/>
  <c r="R22" i="2"/>
  <c r="Q22" i="2"/>
  <c r="R21" i="2"/>
  <c r="Q21" i="2"/>
  <c r="R20" i="2"/>
  <c r="R12" i="2" s="1"/>
  <c r="Q20" i="2"/>
  <c r="Q12" i="2" s="1"/>
  <c r="R19" i="2"/>
  <c r="Q19" i="2"/>
  <c r="R18" i="2"/>
  <c r="Q18" i="2"/>
  <c r="R17" i="2"/>
  <c r="Q17" i="2"/>
  <c r="R16" i="2"/>
  <c r="R8" i="2" s="1"/>
  <c r="Q16" i="2"/>
  <c r="Q8" i="2" s="1"/>
  <c r="R15" i="2"/>
  <c r="R7" i="2" s="1"/>
  <c r="Q15" i="2"/>
  <c r="Q7" i="2" s="1"/>
  <c r="R14" i="2"/>
  <c r="R6" i="2" s="1"/>
  <c r="Q14" i="2"/>
  <c r="Q6" i="2" s="1"/>
  <c r="R13" i="2"/>
  <c r="R5" i="2" s="1"/>
  <c r="Q13" i="2"/>
  <c r="R11" i="2"/>
  <c r="Q11" i="2"/>
  <c r="R10" i="2"/>
  <c r="Q10" i="2"/>
  <c r="R9" i="2"/>
  <c r="Q9" i="2"/>
  <c r="R4" i="2"/>
  <c r="Q4" i="2"/>
  <c r="O24" i="2"/>
  <c r="N24" i="2"/>
  <c r="O23" i="2"/>
  <c r="N23" i="2"/>
  <c r="O22" i="2"/>
  <c r="N22" i="2"/>
  <c r="O21" i="2"/>
  <c r="N21" i="2"/>
  <c r="O20" i="2"/>
  <c r="O12" i="2" s="1"/>
  <c r="N20" i="2"/>
  <c r="N12" i="2" s="1"/>
  <c r="O19" i="2"/>
  <c r="N19" i="2"/>
  <c r="O18" i="2"/>
  <c r="N18" i="2"/>
  <c r="O17" i="2"/>
  <c r="N17" i="2"/>
  <c r="O16" i="2"/>
  <c r="O8" i="2" s="1"/>
  <c r="N16" i="2"/>
  <c r="O15" i="2"/>
  <c r="O7" i="2" s="1"/>
  <c r="N15" i="2"/>
  <c r="N7" i="2" s="1"/>
  <c r="O14" i="2"/>
  <c r="O6" i="2" s="1"/>
  <c r="N14" i="2"/>
  <c r="N6" i="2" s="1"/>
  <c r="O13" i="2"/>
  <c r="O5" i="2" s="1"/>
  <c r="N13" i="2"/>
  <c r="O11" i="2"/>
  <c r="N11" i="2"/>
  <c r="O10" i="2"/>
  <c r="N10" i="2"/>
  <c r="O9" i="2"/>
  <c r="N9" i="2"/>
  <c r="O4" i="2"/>
  <c r="N4" i="2"/>
  <c r="L24" i="2"/>
  <c r="K24" i="2"/>
  <c r="L23" i="2"/>
  <c r="K23" i="2"/>
  <c r="L22" i="2"/>
  <c r="K22" i="2"/>
  <c r="L21" i="2"/>
  <c r="K21" i="2"/>
  <c r="L20" i="2"/>
  <c r="L12" i="2" s="1"/>
  <c r="K20" i="2"/>
  <c r="K12" i="2" s="1"/>
  <c r="L19" i="2"/>
  <c r="K19" i="2"/>
  <c r="L18" i="2"/>
  <c r="K18" i="2"/>
  <c r="L17" i="2"/>
  <c r="K17" i="2"/>
  <c r="L16" i="2"/>
  <c r="L8" i="2" s="1"/>
  <c r="K16" i="2"/>
  <c r="L15" i="2"/>
  <c r="L7" i="2" s="1"/>
  <c r="K15" i="2"/>
  <c r="K7" i="2" s="1"/>
  <c r="L14" i="2"/>
  <c r="L6" i="2" s="1"/>
  <c r="K14" i="2"/>
  <c r="K6" i="2" s="1"/>
  <c r="L13" i="2"/>
  <c r="L5" i="2" s="1"/>
  <c r="K13" i="2"/>
  <c r="L11" i="2"/>
  <c r="K11" i="2"/>
  <c r="L10" i="2"/>
  <c r="K10" i="2"/>
  <c r="L9" i="2"/>
  <c r="K9" i="2"/>
  <c r="L4" i="2"/>
  <c r="K4" i="2"/>
  <c r="I24" i="2"/>
  <c r="H24" i="2"/>
  <c r="I23" i="2"/>
  <c r="H23" i="2"/>
  <c r="I22" i="2"/>
  <c r="H22" i="2"/>
  <c r="I21" i="2"/>
  <c r="H21" i="2"/>
  <c r="I20" i="2"/>
  <c r="I12" i="2" s="1"/>
  <c r="H20" i="2"/>
  <c r="H12" i="2" s="1"/>
  <c r="I19" i="2"/>
  <c r="H19" i="2"/>
  <c r="I18" i="2"/>
  <c r="H18" i="2"/>
  <c r="I17" i="2"/>
  <c r="H17" i="2"/>
  <c r="I16" i="2"/>
  <c r="I8" i="2" s="1"/>
  <c r="H16" i="2"/>
  <c r="H8" i="2" s="1"/>
  <c r="I15" i="2"/>
  <c r="I7" i="2" s="1"/>
  <c r="H15" i="2"/>
  <c r="H7" i="2" s="1"/>
  <c r="I14" i="2"/>
  <c r="I6" i="2" s="1"/>
  <c r="H14" i="2"/>
  <c r="H6" i="2" s="1"/>
  <c r="I13" i="2"/>
  <c r="I5" i="2" s="1"/>
  <c r="H13" i="2"/>
  <c r="I11" i="2"/>
  <c r="H11" i="2"/>
  <c r="I10" i="2"/>
  <c r="H10" i="2"/>
  <c r="I9" i="2"/>
  <c r="H9" i="2"/>
  <c r="I4" i="2"/>
  <c r="H4" i="2"/>
  <c r="F24" i="2"/>
  <c r="E24" i="2"/>
  <c r="F23" i="2"/>
  <c r="E23" i="2"/>
  <c r="F22" i="2"/>
  <c r="E22" i="2"/>
  <c r="F21" i="2"/>
  <c r="E21" i="2"/>
  <c r="F20" i="2"/>
  <c r="F12" i="2" s="1"/>
  <c r="E20" i="2"/>
  <c r="E12" i="2" s="1"/>
  <c r="F19" i="2"/>
  <c r="E19" i="2"/>
  <c r="F18" i="2"/>
  <c r="E18" i="2"/>
  <c r="F17" i="2"/>
  <c r="E17" i="2"/>
  <c r="F16" i="2"/>
  <c r="F8" i="2" s="1"/>
  <c r="E16" i="2"/>
  <c r="E8" i="2" s="1"/>
  <c r="F15" i="2"/>
  <c r="F7" i="2" s="1"/>
  <c r="E15" i="2"/>
  <c r="E7" i="2" s="1"/>
  <c r="F14" i="2"/>
  <c r="F6" i="2" s="1"/>
  <c r="E14" i="2"/>
  <c r="E6" i="2" s="1"/>
  <c r="F13" i="2"/>
  <c r="F5" i="2" s="1"/>
  <c r="E13" i="2"/>
  <c r="E5" i="2" s="1"/>
  <c r="F11" i="2"/>
  <c r="E11" i="2"/>
  <c r="F10" i="2"/>
  <c r="E10" i="2"/>
  <c r="F9" i="2"/>
  <c r="E9" i="2"/>
  <c r="F4" i="2"/>
  <c r="E4" i="2"/>
  <c r="C7" i="4"/>
  <c r="C6" i="4"/>
  <c r="AO4" i="2" l="1"/>
  <c r="M18" i="2"/>
  <c r="M24" i="2"/>
  <c r="S16" i="2"/>
  <c r="S8" i="2" s="1"/>
  <c r="P17" i="2"/>
  <c r="M16" i="2"/>
  <c r="M8" i="2" s="1"/>
  <c r="M22" i="2"/>
  <c r="M17" i="2"/>
  <c r="M23" i="2"/>
  <c r="P13" i="2"/>
  <c r="P5" i="2" s="1"/>
  <c r="D24" i="2"/>
  <c r="S22" i="2"/>
  <c r="S17" i="2"/>
  <c r="S18" i="2"/>
  <c r="S24" i="2"/>
  <c r="P18" i="2"/>
  <c r="P24" i="2"/>
  <c r="P19" i="2"/>
  <c r="P22" i="2"/>
  <c r="P23" i="2"/>
  <c r="S15" i="2"/>
  <c r="S7" i="2" s="1"/>
  <c r="S21" i="2"/>
  <c r="J21" i="2"/>
  <c r="S23" i="2"/>
  <c r="S13" i="2"/>
  <c r="S5" i="2" s="1"/>
  <c r="S19" i="2"/>
  <c r="D16" i="2"/>
  <c r="D8" i="2" s="1"/>
  <c r="M13" i="2"/>
  <c r="M5" i="2" s="1"/>
  <c r="D20" i="2"/>
  <c r="D12" i="2" s="1"/>
  <c r="M19" i="2"/>
  <c r="G17" i="2"/>
  <c r="G23" i="2"/>
  <c r="J17" i="2"/>
  <c r="J23" i="2"/>
  <c r="D17" i="2"/>
  <c r="D23" i="2"/>
  <c r="J18" i="2"/>
  <c r="J24" i="2"/>
  <c r="J13" i="2"/>
  <c r="J5" i="2" s="1"/>
  <c r="J19" i="2"/>
  <c r="J20" i="2"/>
  <c r="J12" i="2" s="1"/>
  <c r="M20" i="2"/>
  <c r="M12" i="2" s="1"/>
  <c r="P20" i="2"/>
  <c r="P12" i="2" s="1"/>
  <c r="D18" i="2"/>
  <c r="G18" i="2"/>
  <c r="G24" i="2"/>
  <c r="D13" i="2"/>
  <c r="D5" i="2" s="1"/>
  <c r="D19" i="2"/>
  <c r="G13" i="2"/>
  <c r="G5" i="2" s="1"/>
  <c r="G19" i="2"/>
  <c r="D14" i="2"/>
  <c r="D6" i="2" s="1"/>
  <c r="G20" i="2"/>
  <c r="G12" i="2" s="1"/>
  <c r="D15" i="2"/>
  <c r="D7" i="2" s="1"/>
  <c r="D21" i="2"/>
  <c r="G21" i="2"/>
  <c r="D22" i="2"/>
  <c r="G22" i="2"/>
  <c r="J16" i="2"/>
  <c r="J8" i="2" s="1"/>
  <c r="J22" i="2"/>
  <c r="M21" i="2"/>
  <c r="P21" i="2"/>
  <c r="S20" i="2"/>
  <c r="S12" i="2" s="1"/>
  <c r="S14" i="2"/>
  <c r="S6" i="2" s="1"/>
  <c r="T8" i="2"/>
  <c r="T5" i="2"/>
  <c r="Q5" i="2"/>
  <c r="P14" i="2"/>
  <c r="P6" i="2" s="1"/>
  <c r="P15" i="2"/>
  <c r="P7" i="2" s="1"/>
  <c r="P16" i="2"/>
  <c r="P8" i="2" s="1"/>
  <c r="M14" i="2"/>
  <c r="M6" i="2" s="1"/>
  <c r="M15" i="2"/>
  <c r="M7" i="2" s="1"/>
  <c r="N8" i="2"/>
  <c r="N5" i="2"/>
  <c r="J14" i="2"/>
  <c r="J6" i="2" s="1"/>
  <c r="K5" i="2"/>
  <c r="J15" i="2"/>
  <c r="J7" i="2" s="1"/>
  <c r="K8" i="2"/>
  <c r="G14" i="2"/>
  <c r="G6" i="2" s="1"/>
  <c r="H5" i="2"/>
  <c r="G15" i="2"/>
  <c r="G7" i="2" s="1"/>
  <c r="G16" i="2"/>
  <c r="G8" i="2" s="1"/>
  <c r="R9" i="5"/>
  <c r="F9" i="4"/>
  <c r="F8" i="4"/>
  <c r="F4" i="4"/>
  <c r="F5" i="4"/>
  <c r="F7" i="4"/>
  <c r="L8" i="4" a="1"/>
  <c r="L9" i="4" a="1"/>
  <c r="K12" i="4" a="1"/>
  <c r="K8" i="4" a="1"/>
  <c r="K12" i="4" l="1"/>
  <c r="K8" i="4"/>
  <c r="L4" i="4"/>
  <c r="K4" i="4"/>
  <c r="J4" i="4"/>
  <c r="K7" i="4" a="1"/>
  <c r="K7" i="4" s="1"/>
  <c r="L7" i="4" a="1"/>
  <c r="L7" i="4" s="1"/>
  <c r="J7" i="4" a="1"/>
  <c r="J7" i="4" s="1"/>
  <c r="J5" i="4" a="1"/>
  <c r="J5" i="4" s="1"/>
  <c r="L5" i="4" a="1"/>
  <c r="L5" i="4" s="1"/>
  <c r="K5" i="4" a="1"/>
  <c r="K5" i="4" s="1"/>
  <c r="L8" i="4"/>
  <c r="L9" i="4"/>
  <c r="I9" i="4"/>
  <c r="I4" i="4"/>
  <c r="G7" i="4"/>
  <c r="H4" i="4"/>
  <c r="G5" i="4"/>
  <c r="I5" i="4"/>
  <c r="H5" i="4"/>
  <c r="I6" i="4"/>
  <c r="H6" i="4"/>
  <c r="I7" i="4"/>
  <c r="H7" i="4"/>
  <c r="H9" i="4"/>
  <c r="H8" i="4"/>
  <c r="I8" i="4"/>
  <c r="K36" i="6"/>
  <c r="L36" i="6" s="1"/>
  <c r="J9" i="4" a="1"/>
  <c r="K9" i="4" a="1"/>
  <c r="J8" i="4" a="1"/>
  <c r="J8" i="4" l="1"/>
  <c r="J9" i="4"/>
  <c r="K9" i="4"/>
  <c r="G4" i="4"/>
  <c r="G9" i="4"/>
  <c r="G6" i="4"/>
  <c r="G8" i="4"/>
  <c r="D5" i="5"/>
  <c r="D4" i="5"/>
  <c r="D3" i="5"/>
  <c r="AN22" i="2"/>
  <c r="O9" i="4" s="1"/>
  <c r="AM22" i="2"/>
  <c r="AL22" i="2"/>
  <c r="AK22" i="2"/>
  <c r="O8" i="4" s="1"/>
  <c r="AJ22" i="2"/>
  <c r="N8" i="4" s="1"/>
  <c r="AI22" i="2"/>
  <c r="AE22" i="2"/>
  <c r="O6" i="4" s="1"/>
  <c r="AD22" i="2"/>
  <c r="N6" i="4" s="1"/>
  <c r="AC22" i="2"/>
  <c r="Y22" i="2"/>
  <c r="O4" i="4" s="1"/>
  <c r="X22" i="2"/>
  <c r="N4" i="4" s="1"/>
  <c r="W22" i="2"/>
  <c r="M8" i="4" l="1"/>
  <c r="N9" i="4"/>
  <c r="M9" i="4"/>
  <c r="M4" i="4"/>
  <c r="M6" i="4"/>
  <c r="I4" i="11" l="1"/>
  <c r="I3" i="11"/>
  <c r="K8" i="6"/>
  <c r="C15" i="4"/>
  <c r="C16" i="4"/>
  <c r="AA4" i="2" l="1"/>
  <c r="AA22" i="2" s="1"/>
  <c r="N5" i="4" s="1"/>
  <c r="Z4" i="2"/>
  <c r="Z22" i="2" s="1"/>
  <c r="M5" i="4" s="1"/>
  <c r="AB4" i="2"/>
  <c r="AB22" i="2" s="1"/>
  <c r="O5" i="4" s="1"/>
  <c r="M12" i="6"/>
  <c r="M8" i="6"/>
  <c r="M4" i="6"/>
  <c r="AG4" i="2" l="1"/>
  <c r="AG22" i="2" s="1"/>
  <c r="N7" i="4" s="1"/>
  <c r="AH4" i="2"/>
  <c r="AH22" i="2" s="1"/>
  <c r="O7" i="4" s="1"/>
  <c r="AF4" i="2"/>
  <c r="AF22" i="2" s="1"/>
  <c r="M7" i="4" s="1"/>
  <c r="M16" i="6"/>
  <c r="K16" i="6" s="1"/>
  <c r="M35" i="6"/>
  <c r="K35" i="6" s="1"/>
  <c r="L35" i="6" s="1"/>
  <c r="M34" i="6"/>
  <c r="M33" i="6"/>
  <c r="M32" i="6"/>
  <c r="M31" i="6"/>
  <c r="K31" i="6" l="1"/>
  <c r="L31" i="6" s="1"/>
  <c r="K12" i="6"/>
  <c r="L12" i="6" s="1"/>
  <c r="K4" i="6"/>
  <c r="L4" i="6" s="1"/>
  <c r="K34" i="6"/>
  <c r="L34" i="6" s="1"/>
  <c r="K33" i="6"/>
  <c r="L33" i="6" s="1"/>
  <c r="K32" i="6"/>
  <c r="L32" i="6" s="1"/>
  <c r="W25" i="2"/>
  <c r="S3" i="5"/>
  <c r="S4" i="5"/>
  <c r="S5" i="5"/>
  <c r="S6" i="5"/>
  <c r="S2" i="5"/>
  <c r="Q3" i="5" l="1"/>
  <c r="Q4" i="5"/>
  <c r="Q5" i="5"/>
  <c r="Q6" i="5"/>
  <c r="Q7" i="5"/>
  <c r="Q8" i="5"/>
  <c r="Q9" i="5"/>
  <c r="Q10" i="5"/>
  <c r="Q11" i="5"/>
  <c r="Q12" i="5"/>
  <c r="Q2" i="5"/>
  <c r="D2" i="5"/>
  <c r="D6" i="5"/>
  <c r="D7" i="5"/>
  <c r="D8" i="5" l="1"/>
  <c r="D9" i="5" s="1"/>
  <c r="R7" i="5"/>
  <c r="R8" i="5" s="1"/>
  <c r="M20" i="6"/>
  <c r="M26" i="6" l="1"/>
  <c r="K26" i="6" s="1"/>
  <c r="L26" i="6" s="1"/>
  <c r="K20" i="6"/>
  <c r="L20" i="6" s="1"/>
  <c r="M30" i="6"/>
  <c r="K30" i="6" s="1"/>
  <c r="L30" i="6" s="1"/>
  <c r="M25" i="6"/>
  <c r="M24" i="6"/>
  <c r="K24" i="6" s="1"/>
  <c r="L24" i="6" s="1"/>
  <c r="A1" i="6"/>
  <c r="F26" i="2" l="1"/>
  <c r="I26" i="2"/>
  <c r="O26" i="2"/>
  <c r="E26" i="2"/>
  <c r="E25" i="2" s="1"/>
  <c r="M7" i="6" s="1"/>
  <c r="K26" i="2"/>
  <c r="L26" i="2"/>
  <c r="L25" i="2" s="1"/>
  <c r="M14" i="6" s="1"/>
  <c r="H26" i="2"/>
  <c r="N26" i="2"/>
  <c r="K19" i="6"/>
  <c r="K18" i="6"/>
  <c r="K25" i="6"/>
  <c r="L25" i="6" s="1"/>
  <c r="M37" i="6"/>
  <c r="K37" i="6" s="1"/>
  <c r="L37" i="6" s="1"/>
  <c r="O25" i="2" l="1"/>
  <c r="M18" i="6" s="1"/>
  <c r="N25" i="2"/>
  <c r="M19" i="6" s="1"/>
  <c r="K25" i="2"/>
  <c r="K14" i="6"/>
  <c r="L14" i="6" s="1"/>
  <c r="H25" i="2"/>
  <c r="M11" i="6" s="1"/>
  <c r="K11" i="6" s="1"/>
  <c r="I25" i="2"/>
  <c r="M10" i="6" s="1"/>
  <c r="K10" i="6" s="1"/>
  <c r="F25" i="2"/>
  <c r="U26" i="2"/>
  <c r="J26" i="2"/>
  <c r="R26" i="2"/>
  <c r="Q26" i="2"/>
  <c r="M26" i="2"/>
  <c r="K7" i="6"/>
  <c r="L7" i="6" s="1"/>
  <c r="T26" i="2"/>
  <c r="D26" i="2"/>
  <c r="G26" i="2"/>
  <c r="K23" i="6"/>
  <c r="L23" i="6" s="1"/>
  <c r="K28" i="6"/>
  <c r="L28" i="6" s="1"/>
  <c r="K29" i="6"/>
  <c r="L29" i="6" s="1"/>
  <c r="K17" i="6"/>
  <c r="K22" i="6"/>
  <c r="L22" i="6" s="1"/>
  <c r="M15" i="6" l="1"/>
  <c r="K15" i="6" s="1"/>
  <c r="L15" i="6" s="1"/>
  <c r="M6" i="6"/>
  <c r="K6" i="6" s="1"/>
  <c r="L6" i="6" s="1"/>
  <c r="J25" i="2"/>
  <c r="M25" i="2"/>
  <c r="M17" i="6" s="1"/>
  <c r="G25" i="2"/>
  <c r="M9" i="6" s="1"/>
  <c r="K9" i="6" s="1"/>
  <c r="U25" i="2"/>
  <c r="M28" i="6" s="1"/>
  <c r="T25" i="2"/>
  <c r="M29" i="6" s="1"/>
  <c r="Q25" i="2"/>
  <c r="M23" i="6" s="1"/>
  <c r="R25" i="2"/>
  <c r="M22" i="6" s="1"/>
  <c r="D25" i="2"/>
  <c r="M5" i="6" s="1"/>
  <c r="S26" i="2"/>
  <c r="P26" i="2"/>
  <c r="K21" i="6"/>
  <c r="L21" i="6" s="1"/>
  <c r="K27" i="6"/>
  <c r="L27" i="6" s="1"/>
  <c r="M13" i="6" l="1"/>
  <c r="K13" i="6" s="1"/>
  <c r="L13" i="6" s="1"/>
  <c r="K5" i="6"/>
  <c r="L5" i="6" s="1"/>
  <c r="S25" i="2"/>
  <c r="M27" i="6" s="1"/>
  <c r="P25" i="2"/>
  <c r="M21" i="6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<sst xmlns="http://schemas.openxmlformats.org/spreadsheetml/2006/main" count="1733" uniqueCount="1134">
  <si>
    <t>2. Konferans/Panel Düzenleme,</t>
  </si>
  <si>
    <t>3. Seminer Düzenleme,</t>
  </si>
  <si>
    <t>4. Gezi Düzenleme,</t>
  </si>
  <si>
    <t>5. Sınıf Rehberliği Tek Etkinlik Uygulama,</t>
  </si>
  <si>
    <t>6. Sınıf Rehberlik Programı Tek Etkinlik Uygulama,</t>
  </si>
  <si>
    <t>7. Masal/Hikaye/Film/Animasyon/Video/Kitap Değerlendirme,</t>
  </si>
  <si>
    <t>1. Yayın Hazırlama (Broşür, Bülten, Okul/Kurum Web Sitesi İçeriği,Pano/Etkileşimli Pano, Afiş, Poster vb.),</t>
  </si>
  <si>
    <t>8. Mezunla Buluşma Etkinliği Düzenleme,</t>
  </si>
  <si>
    <t>Düzey 1</t>
  </si>
  <si>
    <t>1. Konferans/Panel Serisi Düzenleme,</t>
  </si>
  <si>
    <t>2. Seminer Serisi Düzenleme,</t>
  </si>
  <si>
    <t>3. Gezi Serisi Düzenleme</t>
  </si>
  <si>
    <t>4. Psikoeğitim Programı Uygulama,</t>
  </si>
  <si>
    <t>5. Sosyal Sorumluluk Çalışmaları/Projeleri Yürütme,</t>
  </si>
  <si>
    <t>Genel Hedef</t>
  </si>
  <si>
    <t>Yerel Hedef</t>
  </si>
  <si>
    <t>Özel Hedef</t>
  </si>
  <si>
    <t>1. Hedef</t>
  </si>
  <si>
    <t>2. Hedef</t>
  </si>
  <si>
    <t>Hedef Türü</t>
  </si>
  <si>
    <t>Atılganlık</t>
  </si>
  <si>
    <t>Bağımlılıkla Mücadele</t>
  </si>
  <si>
    <t>Bilinçli Teknoloji Kullanımı</t>
  </si>
  <si>
    <t>Bireysel Farklılıklara Saygı</t>
  </si>
  <si>
    <t>Çatışma Çözme Becerileri</t>
  </si>
  <si>
    <t>Gelişim Dönemi Özellikleri</t>
  </si>
  <si>
    <t>Hak ve Sorumluluklarını Bilme</t>
  </si>
  <si>
    <t>İhmal İstismardan Korunma</t>
  </si>
  <si>
    <t>İletişim Becerileri</t>
  </si>
  <si>
    <t>İşbirliği Geliştirme</t>
  </si>
  <si>
    <t>Karar Verme Becerisi</t>
  </si>
  <si>
    <t>Özgüven Geliştirme</t>
  </si>
  <si>
    <t>Özsaygı Geliştirme</t>
  </si>
  <si>
    <t>Problem Çözme Becerileri</t>
  </si>
  <si>
    <t>Psikolojik Sağlamlık</t>
  </si>
  <si>
    <t>Sağlıklı Yaşam</t>
  </si>
  <si>
    <t>Stresle Baş Etme Becerileri</t>
  </si>
  <si>
    <t>Şiddeti Önleme</t>
  </si>
  <si>
    <t>Hedef Belirleme</t>
  </si>
  <si>
    <t>Motivasyon</t>
  </si>
  <si>
    <t>Okul Başarısını Artırma</t>
  </si>
  <si>
    <t>Okula ve Çevreye Uyum</t>
  </si>
  <si>
    <t>Öz Disiplin Geliştirme</t>
  </si>
  <si>
    <t>Sınav Kaygısı</t>
  </si>
  <si>
    <t>Üst Öğrenim Kurumlarının Tanıtılması</t>
  </si>
  <si>
    <t>Üst Öğrenime Geçiş Sınavları</t>
  </si>
  <si>
    <t>Zaman Yönetimi</t>
  </si>
  <si>
    <t>İş Yaşamına Yönelik Beceriler</t>
  </si>
  <si>
    <t>Sosyal Duygusal Gelişim Alanı</t>
  </si>
  <si>
    <t>Akademik Gelişim Alanı</t>
  </si>
  <si>
    <t>Kariyer Gelişim Alanı</t>
  </si>
  <si>
    <t>Alanı</t>
  </si>
  <si>
    <t>Kazanım</t>
  </si>
  <si>
    <t>Gösterilecek Kazanım</t>
  </si>
  <si>
    <t>2. Odak Grup Çalışması,</t>
  </si>
  <si>
    <t>1. Grupla Psikolojik Danışma,</t>
  </si>
  <si>
    <t>Düzey 2</t>
  </si>
  <si>
    <t>Düzey 3</t>
  </si>
  <si>
    <t>6. Sınıf Rehberlik Programı Aynı Kazanıma Ait Ardışık Etkinlik Uygulama,</t>
  </si>
  <si>
    <t>7. Mezunla Buluşma Etkinlik Serisi Düzenleme,</t>
  </si>
  <si>
    <t>3. Psikoeğitim Programı Hazırlama ve Uygulama,</t>
  </si>
  <si>
    <t>8. Eylem Planı Hazırlama ve Uygulama,</t>
  </si>
  <si>
    <t>NO</t>
  </si>
  <si>
    <t>KRİTER</t>
  </si>
  <si>
    <t>UYGUN</t>
  </si>
  <si>
    <t>UYGUN DEĞİL</t>
  </si>
  <si>
    <t>Genel hedef programda belirtilmiştir.</t>
  </si>
  <si>
    <t>Genel hedefe yönelik öğrenci çalışmasına yer verilmiştir.</t>
  </si>
  <si>
    <t>Genel hedefe yönelik öğretmen çalışmasına yer verilmiştir.</t>
  </si>
  <si>
    <t>Genel hedefe yönelik veli çalışmasına yer verilmiştir.</t>
  </si>
  <si>
    <t>Yerel hedef  programda belirtilmiştir.</t>
  </si>
  <si>
    <t>Yerel hedefe yönelik öğrenci çalışmasına yer verilmiştir.</t>
  </si>
  <si>
    <t>Yerel hedefe yönelik öğretmen çalışmasına yer verilmiştir.</t>
  </si>
  <si>
    <t>Yerel hedefe yönelik veli çalışmasına yer verilmiştir.</t>
  </si>
  <si>
    <t>Özel hedefler programda belirtilmiştir.</t>
  </si>
  <si>
    <t>Özel hedefler genel ve yerel hedeflerden farklı çalışmalardan seçilmiştir.</t>
  </si>
  <si>
    <t>Özel hedefler “hedef listesi”nden seçilmiştir</t>
  </si>
  <si>
    <t>Çalışmalar okul kademe ve türüne uygun olarak seçilmiştir.</t>
  </si>
  <si>
    <t>Çalışmalar okuldaki tüm öğrencilere ulaşacak şekilde planlanmıştır.</t>
  </si>
  <si>
    <t>Rehberlik programında yer alan çalışmalar Rehberlik Hizmetleri Sunum Sisteminin Grup Çalışmaları bölümünden seçilmiştir.</t>
  </si>
  <si>
    <t>Öğrencilerle  yürütülecek  çalışmalar  Rehberlik  Hizmetleri  Sunum  Sisteminde  grup çalışmalarında yer alan “Önleyici ve Gelişimsel Hizmetler” ile “İyileştirici Hizmetler” bölümündeki çalışma ve kodlardan seçilmiştir.</t>
  </si>
  <si>
    <t>Öğretmenlerle yürütülecek çalışmalar Rehberlik Hizmetleri Sunum Sisteminde grup
çalışmalarında  yer  alan  “Destek  Hizmetler”  bölümündeki  çalışma  ve  kodlardan seçilmiştir.</t>
  </si>
  <si>
    <t>Velilerle   yürütülecek   çalışmalar   Rehberlik   Hizmetleri   Sunum   Sisteminde   grup çalışmalarında  yer  alan  “Destek  Hizmetler”  bölümündeki  çalışma  ve  kodlardan seçilmiştir.</t>
  </si>
  <si>
    <t>RİBA   uygulamalarına   yayınlanan   rehberlik   hizmetleri   çalışma   takvimine   uygun tarihlerde yer verilmiştir.</t>
  </si>
  <si>
    <t>Düzey</t>
  </si>
  <si>
    <t>Düzey Çalışmaları</t>
  </si>
  <si>
    <t>Program İçin Düzeltilmiş</t>
  </si>
  <si>
    <t>Genel Hedef 1</t>
  </si>
  <si>
    <t>Genel Hedef 2</t>
  </si>
  <si>
    <t>Yerel Hedef 1</t>
  </si>
  <si>
    <t>Yerel Hedef 2</t>
  </si>
  <si>
    <t>Özel Hedef 1</t>
  </si>
  <si>
    <t>Özel Hedef 2</t>
  </si>
  <si>
    <t>Öğrenci</t>
  </si>
  <si>
    <t>Veli</t>
  </si>
  <si>
    <t>Öğretmen</t>
  </si>
  <si>
    <t>DMV*</t>
  </si>
  <si>
    <t>DMÖ*</t>
  </si>
  <si>
    <t>DİKKATE ALINACAK MI?</t>
  </si>
  <si>
    <t>Evet</t>
  </si>
  <si>
    <t>Sınıf Seviyesi</t>
  </si>
  <si>
    <t>Okul Öncesi</t>
  </si>
  <si>
    <t>1. Sınıf</t>
  </si>
  <si>
    <t>2. Sınıf</t>
  </si>
  <si>
    <t>5. Sınıf</t>
  </si>
  <si>
    <t>8. Sınıf</t>
  </si>
  <si>
    <t>9. Sınıf</t>
  </si>
  <si>
    <t>11. Sınıf</t>
  </si>
  <si>
    <t>Etkinlik</t>
  </si>
  <si>
    <t>Aranacak Ay</t>
  </si>
  <si>
    <t>Kazanım No</t>
  </si>
  <si>
    <t>30. Kazanım</t>
  </si>
  <si>
    <t>Kimden, nereden, ne zaman ve nasıl yardım isteyebileceğini bilir.</t>
  </si>
  <si>
    <t>Etkinlik No</t>
  </si>
  <si>
    <t>30. Etkinlik</t>
  </si>
  <si>
    <t>Yardım İstiyorum</t>
  </si>
  <si>
    <t>Mayıs</t>
  </si>
  <si>
    <t>28. Kazanım</t>
  </si>
  <si>
    <t>28. Etkinlik</t>
  </si>
  <si>
    <t>Yardım İste Güvende Kal</t>
  </si>
  <si>
    <t>Kişisel güvenliği için kişisel alanların gerekliliğini fark eder.</t>
  </si>
  <si>
    <t>14. Etkinlik</t>
  </si>
  <si>
    <t>Benim Güvenliğim Benim Alanım</t>
  </si>
  <si>
    <t>15. Etkinlik</t>
  </si>
  <si>
    <t>Sınır Kutum</t>
  </si>
  <si>
    <t>5. Kazanım</t>
  </si>
  <si>
    <t>Kimden, nereden, ne zaman ve nasıl yardım isteyebileceğini bilir</t>
  </si>
  <si>
    <t>5. Etkinlik</t>
  </si>
  <si>
    <t>Yardım Balonlarım</t>
  </si>
  <si>
    <t>10. Kazanım</t>
  </si>
  <si>
    <t>Sınavlara ilişkin duygularını açıklar.</t>
  </si>
  <si>
    <t>10. Etkinlik</t>
  </si>
  <si>
    <t>Sınavlar ve Duygularım</t>
  </si>
  <si>
    <t>24. Kazanım</t>
  </si>
  <si>
    <t>Zorbalıkla baş etme yollarını kullanır.</t>
  </si>
  <si>
    <t>24. Etkinlik</t>
  </si>
  <si>
    <t>Zorbalar Zordalar</t>
  </si>
  <si>
    <t>34. Kazanım</t>
  </si>
  <si>
    <t>34. Etkinlik</t>
  </si>
  <si>
    <t>İhtiyaç Duyduğumda Bilirim Ki…</t>
  </si>
  <si>
    <t>Ergen-ebeveyn ilişkilerini değerlendirir.</t>
  </si>
  <si>
    <t>Aile Halkası</t>
  </si>
  <si>
    <t>14. Kazanım</t>
  </si>
  <si>
    <t>15. Kazanım</t>
  </si>
  <si>
    <t>Nisan</t>
  </si>
  <si>
    <t>Aralık</t>
  </si>
  <si>
    <t>Aranacak Çalışma</t>
  </si>
  <si>
    <t>Ocak</t>
  </si>
  <si>
    <t>Ekim</t>
  </si>
  <si>
    <t>Kasım</t>
  </si>
  <si>
    <t>Mart</t>
  </si>
  <si>
    <t>ÖSO</t>
  </si>
  <si>
    <t>ÖSİ1</t>
  </si>
  <si>
    <t>ÖSİ2</t>
  </si>
  <si>
    <t>Kişisel güvenliği için kişisel alanların gerekliliğini fark eder</t>
  </si>
  <si>
    <t>ÖSOR5</t>
  </si>
  <si>
    <t>ÖSOR8</t>
  </si>
  <si>
    <t>ÖSL9</t>
  </si>
  <si>
    <t>Zorbalıkla baş etme yollarını kullanır</t>
  </si>
  <si>
    <t>ÖSL11</t>
  </si>
  <si>
    <t>Şubat</t>
  </si>
  <si>
    <t>ÖSLÖ34</t>
  </si>
  <si>
    <t>Kişisel sınırların farkında olur.</t>
  </si>
  <si>
    <t>ÖSLÖ35</t>
  </si>
  <si>
    <t>Kendini koruma becerisi kazanır</t>
  </si>
  <si>
    <t>Özel Eğitim Meslek Okulu</t>
  </si>
  <si>
    <t>35. Kazanım</t>
  </si>
  <si>
    <t>Okul Türü Bul</t>
  </si>
  <si>
    <t>Tür</t>
  </si>
  <si>
    <t>İlkokul</t>
  </si>
  <si>
    <t>Ortaokul</t>
  </si>
  <si>
    <t>Lise</t>
  </si>
  <si>
    <t>2. özel hedefe yönelik öğrenci çalışmalarına yer verilmiştir.</t>
  </si>
  <si>
    <t>2. özel hedefe yönelik veli çalışmalarına yer verilmiştir.</t>
  </si>
  <si>
    <t>2. özel hedefe yönelik öğretmen çalışmalarına yer verilmiştir.</t>
  </si>
  <si>
    <t>1. özel hedefe yönelik öğretmen çalışmasına yer verilmiştir.</t>
  </si>
  <si>
    <t>1. özel hedefe yönelik veli çalışmasına yer verilmiştir.</t>
  </si>
  <si>
    <t>1. özel hedefe yönelik öğrenci çalışmasına yer verilmiştir.</t>
  </si>
  <si>
    <t>Sınıflar</t>
  </si>
  <si>
    <t>Kaçtane</t>
  </si>
  <si>
    <t>Ç.S.</t>
  </si>
  <si>
    <t>DURUM AÇIKLAMASI</t>
  </si>
  <si>
    <t>Okul Türüne Göre Değerlendirme Sayıları</t>
  </si>
  <si>
    <t>İl Adı</t>
  </si>
  <si>
    <t>Seçili İl</t>
  </si>
  <si>
    <t>Adana</t>
  </si>
  <si>
    <t>Adıyaman</t>
  </si>
  <si>
    <t>Afyonkarahisar</t>
  </si>
  <si>
    <t>Ağrı</t>
  </si>
  <si>
    <t>Amasya</t>
  </si>
  <si>
    <t>Ankara</t>
  </si>
  <si>
    <t>Antalya</t>
  </si>
  <si>
    <t>Artvin</t>
  </si>
  <si>
    <t>Aydın</t>
  </si>
  <si>
    <t>Balıkesir</t>
  </si>
  <si>
    <t>Bilecik</t>
  </si>
  <si>
    <t>Bingöl</t>
  </si>
  <si>
    <t>Bitlis</t>
  </si>
  <si>
    <t>Bolu</t>
  </si>
  <si>
    <t>Burdur</t>
  </si>
  <si>
    <t>Bursa</t>
  </si>
  <si>
    <t>Çanakkale</t>
  </si>
  <si>
    <t>Çankırı</t>
  </si>
  <si>
    <t>Çorum</t>
  </si>
  <si>
    <t>Denizli</t>
  </si>
  <si>
    <t>Diyarbakır</t>
  </si>
  <si>
    <t>Edirne</t>
  </si>
  <si>
    <t>Elazığ</t>
  </si>
  <si>
    <t>Erzincan</t>
  </si>
  <si>
    <t>Erzurum</t>
  </si>
  <si>
    <t>Eskişehir</t>
  </si>
  <si>
    <t>Gaziantep</t>
  </si>
  <si>
    <t>Giresun</t>
  </si>
  <si>
    <t>Gümüşhane</t>
  </si>
  <si>
    <t>Hakkari</t>
  </si>
  <si>
    <t>Hatay</t>
  </si>
  <si>
    <t>Isparta</t>
  </si>
  <si>
    <t>Mersin</t>
  </si>
  <si>
    <t>İstanbul</t>
  </si>
  <si>
    <t>İzmir</t>
  </si>
  <si>
    <t>Kars</t>
  </si>
  <si>
    <t>Kastamonu</t>
  </si>
  <si>
    <t>Kayseri</t>
  </si>
  <si>
    <t>Kırklareli</t>
  </si>
  <si>
    <t>Kırşehir</t>
  </si>
  <si>
    <t>Kocaeli</t>
  </si>
  <si>
    <t>Konya</t>
  </si>
  <si>
    <t>Kütahya</t>
  </si>
  <si>
    <t>Malatya</t>
  </si>
  <si>
    <t>Manisa</t>
  </si>
  <si>
    <t>Kahramanmaraş</t>
  </si>
  <si>
    <t>Mardin</t>
  </si>
  <si>
    <t>Muğla</t>
  </si>
  <si>
    <t>Muş</t>
  </si>
  <si>
    <t>Nevşehir</t>
  </si>
  <si>
    <t>Niğde</t>
  </si>
  <si>
    <t>Ordu</t>
  </si>
  <si>
    <t>Rize</t>
  </si>
  <si>
    <t>Sakarya</t>
  </si>
  <si>
    <t>Samsun</t>
  </si>
  <si>
    <t>Siirt</t>
  </si>
  <si>
    <t>Sinop</t>
  </si>
  <si>
    <t>Sivas</t>
  </si>
  <si>
    <t>Tekirdağ</t>
  </si>
  <si>
    <t>Tokat</t>
  </si>
  <si>
    <t>Trabzon</t>
  </si>
  <si>
    <t>Tunceli</t>
  </si>
  <si>
    <t>Şanlıurfa</t>
  </si>
  <si>
    <t>Uşak</t>
  </si>
  <si>
    <t>Van</t>
  </si>
  <si>
    <t>Yozgat</t>
  </si>
  <si>
    <t>Zonguldak</t>
  </si>
  <si>
    <t>Aksaray</t>
  </si>
  <si>
    <t>Bayburt</t>
  </si>
  <si>
    <t>Karaman</t>
  </si>
  <si>
    <t>Kırıkkale</t>
  </si>
  <si>
    <t>Batman</t>
  </si>
  <si>
    <t>Şırnak</t>
  </si>
  <si>
    <t>Bartın</t>
  </si>
  <si>
    <t>Ardahan</t>
  </si>
  <si>
    <t>Iğdır</t>
  </si>
  <si>
    <t>Yalova</t>
  </si>
  <si>
    <t>Karabük</t>
  </si>
  <si>
    <t>Kilis</t>
  </si>
  <si>
    <t>Osmaniye</t>
  </si>
  <si>
    <t>Düzce</t>
  </si>
  <si>
    <t>Karşılaştırma</t>
  </si>
  <si>
    <t>Gösterilsin Mi</t>
  </si>
  <si>
    <t>Akran Zorbalığı</t>
  </si>
  <si>
    <t>Bireysel Çalışmalar</t>
  </si>
  <si>
    <t>Kod</t>
  </si>
  <si>
    <t>Çalışma</t>
  </si>
  <si>
    <t>Yer Verilme Sayısı</t>
  </si>
  <si>
    <t>Grup Çalışmaları</t>
  </si>
  <si>
    <t>Devamsızlığı Önleme</t>
  </si>
  <si>
    <t>Dikkat Geliştirme Çalışmaları</t>
  </si>
  <si>
    <t>Okul Kuralları</t>
  </si>
  <si>
    <t>Okulda Seçilebilecek Alan/Dallar</t>
  </si>
  <si>
    <t>Okulun Sosyokültürel İmkanları</t>
  </si>
  <si>
    <t>Rehberlik ve Psikolojik Danışma Servisinin Tanıtılması</t>
  </si>
  <si>
    <t>Kariyer Gelişimi</t>
  </si>
  <si>
    <t>İş ve Meslek Etiği</t>
  </si>
  <si>
    <t>Kariyer Planlama</t>
  </si>
  <si>
    <t>Meslek Sahibi Olmanın Önemi</t>
  </si>
  <si>
    <t>Meslek Seçerken Dikkat Edilmesi Gereken Hususlar</t>
  </si>
  <si>
    <t>Meslek Tanıtımı</t>
  </si>
  <si>
    <t>Mesleki Hedef Belirleme</t>
  </si>
  <si>
    <t>DMV</t>
  </si>
  <si>
    <t>DMÖ</t>
  </si>
  <si>
    <t>Otokontrol</t>
  </si>
  <si>
    <t>Sosyal Beceriler</t>
  </si>
  <si>
    <t>Yaratıcı Düşünme Becerisi</t>
  </si>
  <si>
    <t>Verimli Ders Çalışma Teknikleri</t>
  </si>
  <si>
    <t>Meslek ile İlgi, Değer, Yetenek ve Kişisel Özellik  İlişkisi</t>
  </si>
  <si>
    <t>Aile İçi İletişim</t>
  </si>
  <si>
    <t>Okul Başarısında Ailenin Rolü</t>
  </si>
  <si>
    <t>Okul Olgunluğu</t>
  </si>
  <si>
    <t>Okula Uyum Çalışmaları</t>
  </si>
  <si>
    <t>Öfke Yönetimi</t>
  </si>
  <si>
    <t>Stres Yönetimi</t>
  </si>
  <si>
    <t>Şiddetin Önlenmesi</t>
  </si>
  <si>
    <t>Üst Öğrenim Kurumları</t>
  </si>
  <si>
    <t>Toplam</t>
  </si>
  <si>
    <t>Veli Toplam</t>
  </si>
  <si>
    <t>Öğretmen Toplam</t>
  </si>
  <si>
    <t>Okul Adı</t>
  </si>
  <si>
    <t>Uyarı Verilsin Mi</t>
  </si>
  <si>
    <t>OKUL ÖNCESİ EĞİTİM KURUMU / İLKOKUL / ORTAOKUL / LİSE (REHBER ÖĞRETMEN / PSİKOLOJİK DANIŞMANI OLAN)</t>
  </si>
  <si>
    <t>ÖZEL EĞİTİM OKULU (REHBER ÖĞRETMEN / PSİKOLOJİK DANIŞMANI OLAN)</t>
  </si>
  <si>
    <t>BİLSEM (REHBER ÖĞRETMEN / PSİKOLOJİK DANIŞMANI OLAN)</t>
  </si>
  <si>
    <t>Türü Bul</t>
  </si>
  <si>
    <t>Yerl Hedef 2</t>
  </si>
  <si>
    <t>Hedef Tipi</t>
  </si>
  <si>
    <t>Çalışma Tipi</t>
  </si>
  <si>
    <t>Durum</t>
  </si>
  <si>
    <t>Yalnızca  rehberlik  öğretmeni  tarafından  yapılacak  çalışmalara  yer  verilmiştir  (Sınıf
rehberlik programında rehber öğretmeninin/psikolojik danışmanın yapacağı çalışmalara yer verilmiştir).</t>
  </si>
  <si>
    <t>Alınsın</t>
  </si>
  <si>
    <t>Çalışma Tipi Boş</t>
  </si>
  <si>
    <t>Seminer*</t>
  </si>
  <si>
    <t>Panel*</t>
  </si>
  <si>
    <t>Konferans*</t>
  </si>
  <si>
    <t>Gezi*</t>
  </si>
  <si>
    <t>Mezunla Buluşma Etkinliği*</t>
  </si>
  <si>
    <t>Sınır Koyma</t>
  </si>
  <si>
    <t>Cinsel Eğitim</t>
  </si>
  <si>
    <t>Değişen Yaşam Koşullarına Uyum</t>
  </si>
  <si>
    <t>Duygu Düzenleme</t>
  </si>
  <si>
    <t>Duygu Farkındalığı</t>
  </si>
  <si>
    <t>Eleştiriye Tolerans Gösterme</t>
  </si>
  <si>
    <t>Hayat Boyu Öğrenme</t>
  </si>
  <si>
    <t>Mükemmelliyetçilik</t>
  </si>
  <si>
    <t>Öz Farkındalığı Geliştirme</t>
  </si>
  <si>
    <t>Toplumsal Uyum Becerileri</t>
  </si>
  <si>
    <t>Yaratıcılık</t>
  </si>
  <si>
    <t>Yaşam Becerileri</t>
  </si>
  <si>
    <t>Yetersizliği Kabul</t>
  </si>
  <si>
    <t>Akademik Özyeterlik</t>
  </si>
  <si>
    <t>E-KPSS</t>
  </si>
  <si>
    <t>Okul ve Çevresindeki Sosyokültürel İmkanlar</t>
  </si>
  <si>
    <t>Okulda Seçilecek Alan/Dallar</t>
  </si>
  <si>
    <t>Öz Düzenlemeli Öğrenme</t>
  </si>
  <si>
    <t>Kalfalık ve Ustalık Sistemleri Hakkında Bilgilendirme</t>
  </si>
  <si>
    <t>Meslekle İlgi, Değer, Yetenek ve Kişisel Özellik İlişkisi</t>
  </si>
  <si>
    <t>Mesleki Benlik</t>
  </si>
  <si>
    <t>Etik Davranış</t>
  </si>
  <si>
    <t>Girişimcilik</t>
  </si>
  <si>
    <t>Meslekle İlgi,Yetenek, Değer ve Kişisel Özellik İlişkisi</t>
  </si>
  <si>
    <t>Yardım Arama</t>
  </si>
  <si>
    <t>Meslek ile İlgi, Değer, Yetenek ve Kişisel Özellik İlişkisi</t>
  </si>
  <si>
    <t>ÖOV</t>
  </si>
  <si>
    <r>
      <t xml:space="preserve">Genel hedef 2 programda belirtilmiştir. </t>
    </r>
    <r>
      <rPr>
        <i/>
        <sz val="12"/>
        <color rgb="FF000000"/>
        <rFont val="Times New Roman"/>
        <family val="1"/>
        <charset val="162"/>
      </rPr>
      <t>(Değerlendirmeye Gerek Yoktur)</t>
    </r>
  </si>
  <si>
    <r>
      <t xml:space="preserve">Genel hedef 2 ye yönelik öğrenci çalışmasına yer verilmiştir. </t>
    </r>
    <r>
      <rPr>
        <i/>
        <sz val="12"/>
        <color rgb="FF000000"/>
        <rFont val="Times New Roman"/>
        <family val="1"/>
        <charset val="162"/>
      </rPr>
      <t>(Değerlendirmeye Gerek Yoktur)</t>
    </r>
  </si>
  <si>
    <r>
      <t xml:space="preserve">Genel hedef 2 ye yönelik öğretmen çalışmasına yer verilmiştir. </t>
    </r>
    <r>
      <rPr>
        <i/>
        <sz val="12"/>
        <color rgb="FF000000"/>
        <rFont val="Times New Roman"/>
        <family val="1"/>
        <charset val="162"/>
      </rPr>
      <t>(Değerlendirmeye Gerek Yoktur)</t>
    </r>
  </si>
  <si>
    <r>
      <t xml:space="preserve">Genel hedef 2 ye yönelik veli çalışmasına yer verilmiştir. </t>
    </r>
    <r>
      <rPr>
        <i/>
        <sz val="12"/>
        <color rgb="FF000000"/>
        <rFont val="Times New Roman"/>
        <family val="1"/>
        <charset val="162"/>
      </rPr>
      <t>(Değerlendirmeye Gerek Yoktur)</t>
    </r>
  </si>
  <si>
    <t>Yayın Hazırlama(broşür, bülten, pano/etkileşimli pano,okul/kurum web sitesi içeriği, afiş, poster)*</t>
  </si>
  <si>
    <t>Sınıf Rehberliği Tek Etkinlik Uygulama*</t>
  </si>
  <si>
    <t>Sınıf Rehberlik Programı Tek Etkinlik Uygulama*</t>
  </si>
  <si>
    <t>Masal/ Hikaye/ Animasyon/ Video/Kitap Değerlendirme*</t>
  </si>
  <si>
    <t>Konferans Serisi*</t>
  </si>
  <si>
    <t>Panel Serisi*</t>
  </si>
  <si>
    <t>Seminer Serisi*</t>
  </si>
  <si>
    <t>Gezi Serisi*</t>
  </si>
  <si>
    <t>Psikoeğitim Programı Uygulama*</t>
  </si>
  <si>
    <t>Sosyal Sorumluluk Çalışmaları/Projeleri Yürütme*</t>
  </si>
  <si>
    <t>Sınıf Rehberlik Programı Ardışık Etkinlik Uygulama*</t>
  </si>
  <si>
    <t>Mezunla Buluşma Etkinlik Serisi Düzenleme*</t>
  </si>
  <si>
    <t>Eylem Planı Hazırlama ve Uygulama*</t>
  </si>
  <si>
    <t>Grupla Psikolojik Danışma*</t>
  </si>
  <si>
    <t>Odak Grup Çalışması*</t>
  </si>
  <si>
    <t>Psikoeğitim Programı Hazırlama ve Uygulama*</t>
  </si>
  <si>
    <t>Aile İçi İletişim-Çocuk Hakları ve Çocuk Kıymeti</t>
  </si>
  <si>
    <t>MESLEKİ EĞİTİM MERKEZİ (REHBER ÖĞRETMEN / PSİKOLOJİK DANIŞMANI OLAN)</t>
  </si>
  <si>
    <t>HALK EĞİTİMİ MERKEZİ (REHBER ÖĞRETMEN / PSİKOLOJİK DANIŞMANI OLAN)</t>
  </si>
  <si>
    <r>
      <t xml:space="preserve">Yerel Hedef 2 programda belirtilmiştir. </t>
    </r>
    <r>
      <rPr>
        <i/>
        <sz val="12"/>
        <color rgb="FF000000"/>
        <rFont val="Times New Roman"/>
        <family val="1"/>
        <charset val="162"/>
      </rPr>
      <t>(Değerlendirmeye Gerek Yoktur)</t>
    </r>
  </si>
  <si>
    <r>
      <t xml:space="preserve">Yerel Hedef 2 ye yönelik öğrenci çalışmasına yer verilmiştir. </t>
    </r>
    <r>
      <rPr>
        <i/>
        <sz val="12"/>
        <color rgb="FF000000"/>
        <rFont val="Times New Roman"/>
        <family val="1"/>
        <charset val="162"/>
      </rPr>
      <t>(Değerlendirmeye Gerek Yoktur)</t>
    </r>
  </si>
  <si>
    <r>
      <t xml:space="preserve">Yerel Hedef 2 ye yönelik öğretmen çalışmasına yer verilmiştir. </t>
    </r>
    <r>
      <rPr>
        <i/>
        <sz val="12"/>
        <color rgb="FF000000"/>
        <rFont val="Times New Roman"/>
        <family val="1"/>
        <charset val="162"/>
      </rPr>
      <t>(Değerlendirmeye Gerek Yoktur)</t>
    </r>
  </si>
  <si>
    <r>
      <t xml:space="preserve">Yerel Hedef 2 ye yönelik veli çalışmasına yer verilmiştir. </t>
    </r>
    <r>
      <rPr>
        <i/>
        <sz val="12"/>
        <color rgb="FF000000"/>
        <rFont val="Times New Roman"/>
        <family val="1"/>
        <charset val="162"/>
      </rPr>
      <t>(Değerlendirmeye Gerek Yoktur)</t>
    </r>
  </si>
  <si>
    <t>Anaokulu ve Özel Eğitim Okulu mu</t>
  </si>
  <si>
    <t>B.K.P.1.c.1  - Yaşam Pencerem  -  Uygulama</t>
  </si>
  <si>
    <t>B.K.P.1.c.2  - Yaşam Pencerem  -  Geribildirim</t>
  </si>
  <si>
    <t xml:space="preserve">B.K.P.1.c.3  - Yaşam Pencerem  -  Sonuç Değerlendirme </t>
  </si>
  <si>
    <t>B.K.G.4.c.1  - Öğrenci Bilgi Formu  -  Uygulama</t>
  </si>
  <si>
    <t>B.K.G.4.c.2  - Öğrenci Bilgi Formu  -  Geribildirim</t>
  </si>
  <si>
    <t xml:space="preserve">B.K.G.4.c.3  - Öğrenci Bilgi Formu  -  Sonuç Değerlendirme </t>
  </si>
  <si>
    <t>B.K.G.12.c.1  - Yol Haritam  -  Uygulama</t>
  </si>
  <si>
    <t>B.K.G.12.c.2  - Yol Haritam  -  Geribildirim</t>
  </si>
  <si>
    <t xml:space="preserve">B.K.G.12.c.3  - Yol Haritam  -  Sonuç Değerlendirme </t>
  </si>
  <si>
    <t>B.K.O.1.c.1  - Bana Kendini Anlat  -  Uygulama</t>
  </si>
  <si>
    <t>B.K.O.1.c.2  - Bana Kendini Anlat  -  Geribildirim</t>
  </si>
  <si>
    <t xml:space="preserve">B.K.O.1.c.3  - Bana Kendini Anlat  -  Sonuç Değerlendirme </t>
  </si>
  <si>
    <t>B.K.G.3.c.1  - Kendimi Tanıyorum  -  Uygulama</t>
  </si>
  <si>
    <t>B.K.G.3.c.2  - Kendimi Tanıyorum  -  Geribildirim</t>
  </si>
  <si>
    <t xml:space="preserve">B.K.G.3.c.3  - Kendimi Tanıyorum  -  Sonuç Değerlendirme </t>
  </si>
  <si>
    <t>ÖOB99.1  - Diğer  -  Uygulama</t>
  </si>
  <si>
    <t>ÖOB99.2  - Diğer  -  Geribildirim</t>
  </si>
  <si>
    <t xml:space="preserve">ÖOB99.3  - Diğer  -  Sonuç Değerlendirme </t>
  </si>
  <si>
    <t>B.K.A.7.c.1  - Şiddet Algısı Anketi  -  Uygulama</t>
  </si>
  <si>
    <t>B.K.A.7.c.2  - Şiddet Algısı Anketi  -  Geribildirim</t>
  </si>
  <si>
    <t xml:space="preserve">B.K.A.7.c.3  - Şiddet Algısı Anketi  -  Sonuç Değerlendirme </t>
  </si>
  <si>
    <t>B.K.A.8.c.1  - Şiddet Sıklığı Anketi  -  Uygulama</t>
  </si>
  <si>
    <t>B.K.A.8.c.2  - Şiddet Sıklığı Anketi  -  Geribildirim</t>
  </si>
  <si>
    <t xml:space="preserve">B.K.A.8.c.3  - Şiddet Sıklığı Anketi  -  Sonuç Değerlendirme </t>
  </si>
  <si>
    <t>B.K.A.9.c.1  - Şiddet Meşruiyeti Anketi  -  Uygulama</t>
  </si>
  <si>
    <t>B.K.A.9.c.2  - Şiddet Meşruiyeti Anketi  -  Geribildirim</t>
  </si>
  <si>
    <t xml:space="preserve">B.K.A.9.c.3  - Şiddet Meşruiyeti Anketi  -  Sonuç Değerlendirme </t>
  </si>
  <si>
    <t>B.K.A.10.c.1  - Şiddet Algısı Anketi (Veli)  -  Uygulama</t>
  </si>
  <si>
    <t>B.K.A.10.c.2  - Şiddet Algısı Anketi (Veli)  -  Geribildirim</t>
  </si>
  <si>
    <t xml:space="preserve">B.K.A.10.c.3  - Şiddet Algısı Anketi (Veli)  -  Sonuç Değerlendirme </t>
  </si>
  <si>
    <t>B.G.G.10.c.1  - Şiddet Sıklığı Anketi (Veli)  -  Uygulama</t>
  </si>
  <si>
    <t>B.G.G.10.c.2  - Şiddet Sıklığı Anketi (Veli)  -  Geribildirim</t>
  </si>
  <si>
    <t xml:space="preserve">B.G.G.10.c.3  - Şiddet Sıklığı Anketi (Veli)  -  Sonuç Değerlendirme </t>
  </si>
  <si>
    <t>B.K.A.12.c.1  - Şiddet Meşruiyeti Anketi (Veli)  -  Uygulama</t>
  </si>
  <si>
    <t>B.K.A.12.c.2  - Şiddet Meşruiyeti Anketi (Veli)  -  Geribildirim</t>
  </si>
  <si>
    <t xml:space="preserve">B.K.A.12.c.3  - Şiddet Meşruiyeti Anketi (Veli)  -  Sonuç Değerlendirme </t>
  </si>
  <si>
    <t>B.K.A.11.c.1  - Şiddet Algısı Anketi (Öğretmen)  -  Uygulama</t>
  </si>
  <si>
    <t>B.K.A.11.c.2  - Şiddet Algısı Anketi (Öğretmen)  -  Geribildirim</t>
  </si>
  <si>
    <t xml:space="preserve">B.K.A.11.c.3  - Şiddet Algısı Anketi (Öğretmen)  -  Sonuç Değerlendirme </t>
  </si>
  <si>
    <t>B.G.G.11.c.1  - Şiddet Sıklığı Anketi (Öğretmen)  -  Uygulama</t>
  </si>
  <si>
    <t>B.G.G.11.c.2  - Şiddet Sıklığı Anketi (Öğretmen)  -  Geribildirim</t>
  </si>
  <si>
    <t xml:space="preserve">B.G.G.11.c.3  - Şiddet Sıklığı Anketi (Öğretmen)  -  Sonuç Değerlendirme </t>
  </si>
  <si>
    <t>B.K.A.13.c.1  - Şiddet Meşruiyeti Anketi (Öğretmen 4-6.sınıf)  -  Uygulama</t>
  </si>
  <si>
    <t>B.K.A.13.c.2  - Şiddet Meşruiyeti Anketi (Öğretmen 4-6.sınıf)  -  Geribildirim</t>
  </si>
  <si>
    <t xml:space="preserve">B.K.A.13.c.3  - Şiddet Meşruiyeti Anketi (Öğretmen 4-6.sınıf)  -  Sonuç Değerlendirme </t>
  </si>
  <si>
    <t>B.K.A.14.c.1  - Şiddet Meşruiyeti Anketi (Öğretmen 7-12. Sınıf)  -  Uygulama</t>
  </si>
  <si>
    <t>B.K.A.14.c.2  - Şiddet Meşruiyeti Anketi (Öğretmen 7-12. Sınıf)  -  Geribildirim</t>
  </si>
  <si>
    <t xml:space="preserve">B.K.A.14.c.3  - Şiddet Meşruiyeti Anketi (Öğretmen 7-12. Sınıf)  -  Sonuç Değerlendirme </t>
  </si>
  <si>
    <t>B.K.İ.1.c.1  - Verimli Ders Çalışma Kontrol Listesi  -  Uygulama</t>
  </si>
  <si>
    <t>B.K.İ.1.c.2  - Verimli Ders Çalışma Kontrol Listesi  -  Geribildirim</t>
  </si>
  <si>
    <t xml:space="preserve">B.K.İ.1.c.3  - Verimli Ders Çalışma Kontrol Listesi  -  Sonuç Değerlendirme </t>
  </si>
  <si>
    <t>B.G.G.2.c.1  - Çocuğumu Tanıyorum Formu  -  Uygulama</t>
  </si>
  <si>
    <t>B.G.G.2.c.2  - Çocuğumu Tanıyorum Formu  -  Geribildirim</t>
  </si>
  <si>
    <t xml:space="preserve">B.G.G.2.c.3  - Çocuğumu Tanıyorum Formu  -  Sonuç Değerlendirme </t>
  </si>
  <si>
    <t>B.G.G.1.c.1  - Aile içi Gözlem Formu  -  Uygulama</t>
  </si>
  <si>
    <t>B.G.G.1.c.2  - Aile içi Gözlem Formu  -  Geribildirim</t>
  </si>
  <si>
    <t xml:space="preserve">B.G.G.1.c.3  - Aile içi Gözlem Formu  -  Sonuç Değerlendirme </t>
  </si>
  <si>
    <t>B.G.G.3.c.1  - DEHB Gözlem Formu  -  Uygulama</t>
  </si>
  <si>
    <t>B.G.G.3.c.2  - DEHB Gözlem Formu  -  Geribildirim</t>
  </si>
  <si>
    <t xml:space="preserve">B.G.G.3.c.3  - DEHB Gözlem Formu  -  Sonuç Değerlendirme </t>
  </si>
  <si>
    <t>B.G.G.4.c.1  - Ev Ziyaret Formu  -  Uygulama</t>
  </si>
  <si>
    <t>B.G.G.4.c.2  - Ev Ziyaret Formu  -  Geribildirim</t>
  </si>
  <si>
    <t xml:space="preserve">B.G.G.4.c.3  - Ev Ziyaret Formu  -  Sonuç Değerlendirme </t>
  </si>
  <si>
    <t>B.G.G.7.c.1  - Öğrenci Gözlem Kaydı  -  Uygulama</t>
  </si>
  <si>
    <t>B.G.G.7.c.2  - Öğrenci Gözlem Kaydı  -  Geribildirim</t>
  </si>
  <si>
    <t xml:space="preserve">B.G.G.7.c.3  - Öğrenci Gözlem Kaydı  -  Sonuç Değerlendirme </t>
  </si>
  <si>
    <t>B.G.G.8.a.1  - Özel Öğrenme Güçlüğü Gözlem Formu  -  Uygulama</t>
  </si>
  <si>
    <t>B.G.G.8.a.2  - Özel Öğrenme Güçlüğü Gözlem Formu  -  Geribildirim</t>
  </si>
  <si>
    <t xml:space="preserve">B.G.G.8.a.3  - Özel Öğrenme Güçlüğü Gözlem Formu  -  Sonuç Değerlendirme </t>
  </si>
  <si>
    <t>B.K.G.7.c.1  - Öğrenci-Öngörüşme Formu  -  Uygulama</t>
  </si>
  <si>
    <t>B.K.G.7.c.2  - Öğrenci-Öngörüşme Formu  -  Geribildirim</t>
  </si>
  <si>
    <t xml:space="preserve">B.K.G.7.c.3  - Öğrenci-Öngörüşme Formu  -  Sonuç Değerlendirme </t>
  </si>
  <si>
    <t>RAM (WISC-R)  -  Uygulama - RAM (WISC-R)  -  Uygulama</t>
  </si>
  <si>
    <t>RAM (WISC-R)  -  Geribildirim - RAM (WISC-R)  -  Geribildirim</t>
  </si>
  <si>
    <t xml:space="preserve">RAM (WISC-R)  -  Sonuç Değerlendirme  - RAM (WISC-R)  -  Sonuç Değerlendirme </t>
  </si>
  <si>
    <t>B.K.A.2.C.1  - Devamsızlık Nedenleri Anketi  -  Uygulama</t>
  </si>
  <si>
    <t>B.K.A.2.C.2  - Devamsızlık Nedenleri Anketi  -  Geribildirim</t>
  </si>
  <si>
    <t xml:space="preserve">B.K.A.2.C.3  - Devamsızlık Nedenleri Anketi  -  Sonuç Değerlendirme </t>
  </si>
  <si>
    <t>RAM  (LEITER)  -  Uygulama - RAM  (LEITER)  -  Uygulama</t>
  </si>
  <si>
    <t>RAM  (LEITER)  -  Geribildirim - RAM  (LEITER)  -  Geribildirim</t>
  </si>
  <si>
    <t xml:space="preserve">RAM  (LEITER)  -  Sonuç Değerlendirme  - RAM  (LEITER)  -  Sonuç Değerlendirme </t>
  </si>
  <si>
    <t>RAM (ASİS)  -  Uygulama - RAM (ASİS)  -  Uygulama</t>
  </si>
  <si>
    <t>RAM (ASİS)  -  Geribildirim - RAM (ASİS)  -  Geribildirim</t>
  </si>
  <si>
    <t xml:space="preserve">RAM (ASİS)  -  Sonuç Değerlendirme  - RAM (ASİS)  -  Sonuç Değerlendirme </t>
  </si>
  <si>
    <t>RAM (S.BİNET)  -  Uygulama - RAM (S.BİNET)  -  Uygulama</t>
  </si>
  <si>
    <t>RAM (S.BİNET)  -  Geribildirim - RAM (S.BİNET)  -  Geribildirim</t>
  </si>
  <si>
    <t xml:space="preserve">RAM (S.BİNET)  -  Sonuç Değerlendirme  - RAM (S.BİNET)  -  Sonuç Değerlendirme </t>
  </si>
  <si>
    <t>RAM (ÖGT)  -  Uygulama - RAM (ÖGT)  -  Uygulama</t>
  </si>
  <si>
    <t>RAM (ÖGT)  -  Geribildirim - RAM (ÖGT)  -  Geribildirim</t>
  </si>
  <si>
    <t xml:space="preserve">RAM (ÖGT)  -  Sonuç Değerlendirme  - RAM (ÖGT)  -  Sonuç Değerlendirme </t>
  </si>
  <si>
    <t>ÖOVKb - Aile</t>
  </si>
  <si>
    <t>ÖOVKb - Arkadaşlık İlişkileri</t>
  </si>
  <si>
    <t>ÖOVKb - Bağımlılıkla Mücadele Akran Desteği</t>
  </si>
  <si>
    <t>ÖOVKb - Problem Davranış</t>
  </si>
  <si>
    <t>ÖOVKb - Psikolojik Uyum</t>
  </si>
  <si>
    <t>ÖOVKb - Sağlık</t>
  </si>
  <si>
    <t>ÖOVKb - Sosyal Uyum</t>
  </si>
  <si>
    <t>ÖOVKb - Sosyoekonomik Konular</t>
  </si>
  <si>
    <t>ÖOVEb - Başarısızlık Nedenleri</t>
  </si>
  <si>
    <t>ÖOVEb - Çalışma Programı Hazırlama</t>
  </si>
  <si>
    <t>ÖOVEb - Ders Seçimi</t>
  </si>
  <si>
    <t>ÖOVEb - Devamsızlığı Önleme</t>
  </si>
  <si>
    <t>ÖOVEb - Devamsızlık Nedenleri</t>
  </si>
  <si>
    <t>ÖOVEb - Dikkat Geliştirme Çalışmaları</t>
  </si>
  <si>
    <t>ÖOVEb - Hedef Belirleme</t>
  </si>
  <si>
    <t>ÖOVEb - Motivasyon</t>
  </si>
  <si>
    <t>ÖOVEb - Okul Kuralları</t>
  </si>
  <si>
    <t>ÖOVEb - Okul ve Çevresindeki Eğitim Olanakları</t>
  </si>
  <si>
    <t>ÖOVEb - Okula ve Çevreye Uyum</t>
  </si>
  <si>
    <t>ÖOVEb - Okulda Seçilebilecek Alan/Dal</t>
  </si>
  <si>
    <t>ÖOVEb - Okulun Fiziksel İmkanları</t>
  </si>
  <si>
    <t>ÖOVEb - Okulun Sosyokültürel İmkanları</t>
  </si>
  <si>
    <t>ÖOVEb - Öğrenciyi İlgilendiren Yönetmelikler</t>
  </si>
  <si>
    <t>ÖOVEb - Öğrenme Stilleri</t>
  </si>
  <si>
    <t>ÖOVEb - Öz Disiplin Geliştirme</t>
  </si>
  <si>
    <t>ÖOVEb - Rehberlik ve Psikolojik Danışma Servisinin Tanıtılması</t>
  </si>
  <si>
    <t>ÖOVEb - Serbest Zamanı Değerlendirme</t>
  </si>
  <si>
    <t>ÖOVEb - Sınav Kaygısı</t>
  </si>
  <si>
    <t>ÖOVEb - Sınavda Başarılı Olma Stratejileri</t>
  </si>
  <si>
    <t>ÖOVEb - Sosyal Kulüpler</t>
  </si>
  <si>
    <t>ÖOVEb - Üst Öğrenimde Yararlanılacak Burslar ve Barınma Olanakları</t>
  </si>
  <si>
    <t>ÖOVEb - Üst Öğrenime Geçiş Sınavları</t>
  </si>
  <si>
    <t>ÖOVEb - Verimli Ders Çalışma</t>
  </si>
  <si>
    <t>ÖOVEb - Yurt Dışı Eğitim Olanakları</t>
  </si>
  <si>
    <t>ÖOVEb - Zamanı Yönetimi</t>
  </si>
  <si>
    <t>ÖOVMb - Çalışan/işveren Hak ve Sorumlulukları</t>
  </si>
  <si>
    <t>ÖOVMb - Çevredeki İş Olanakları Ve Çalışma Koşulları</t>
  </si>
  <si>
    <t>ÖOVMb - İş Görüşmesi Becerileri</t>
  </si>
  <si>
    <t>ÖOVMb - İş ve Mesleğe Hazırlayan Kurum ve Kursların Tanıtımı</t>
  </si>
  <si>
    <t>ÖOVMb - İş ve Meslek Etiği</t>
  </si>
  <si>
    <t>ÖOVMb - İş Yaşamına Yönelik Beceriler</t>
  </si>
  <si>
    <t>ÖOVMb - Kariyer Olgunluğu</t>
  </si>
  <si>
    <t>ÖOVMb - Kariyer Planlama</t>
  </si>
  <si>
    <t>ÖOVMb - Meslek ile İlgi, Değer, Yetenek ve Kişisel Özellik İlişkisi</t>
  </si>
  <si>
    <t>ÖOVMb - Meslek Sahibi Olmanın Önemi</t>
  </si>
  <si>
    <t>ÖOVMb - Meslek Seçerken Dikkat Edilmesi Gereken Hususlar</t>
  </si>
  <si>
    <t>ÖOVMb - Meslek Tanıtımı</t>
  </si>
  <si>
    <t>ÖOVMb - Mesleki Hedef Belirleme</t>
  </si>
  <si>
    <t>ÖOVMb - Mesleklerin İncelenmesi</t>
  </si>
  <si>
    <t>ÖOVMb - Özgeçmiş Hazırlama</t>
  </si>
  <si>
    <t>ÖOVMb - Staj</t>
  </si>
  <si>
    <t>ÖOYb - Alan/Dal Tercihleri</t>
  </si>
  <si>
    <t>ÖOYb - Değişen Ben-Sosyal Kültürel Faaliyetler</t>
  </si>
  <si>
    <t>ÖOYb - Risk Haritası-Sosyal Kültürel Faaliyetler</t>
  </si>
  <si>
    <t>ÖOYb - Seçmeli Ders</t>
  </si>
  <si>
    <t>ÖOYb - Sosyal Kulüpler</t>
  </si>
  <si>
    <t>ÖOYb - Üst Öğrenim Kurumuna Geçen Öğrencilerin İzlenmesi</t>
  </si>
  <si>
    <t>İB - Aile</t>
  </si>
  <si>
    <t>İB - Davranış Sorunları</t>
  </si>
  <si>
    <t>İB - OBM</t>
  </si>
  <si>
    <t>İB - Okul öncesi-Arkadaşlık İlişkileri Geliştirme Psikoeğitim Programı(Zorba)</t>
  </si>
  <si>
    <t>İB - Okul öncesi-Arkadaşlık İlişkileri Geliştirme Psikoeğitm Programı(Maruz Kalan)</t>
  </si>
  <si>
    <t>İB - Okula Ve Çevreye Uyum</t>
  </si>
  <si>
    <t>İB - Psikolojik Uyum</t>
  </si>
  <si>
    <t>İB - Sağlık</t>
  </si>
  <si>
    <t>İB - Sosyal Uyum</t>
  </si>
  <si>
    <t>İB - Sosyoekonomik Konular</t>
  </si>
  <si>
    <t>İB - Travma Sonrası Grup Temelli Müdahale Programı (TS-GTM)</t>
  </si>
  <si>
    <t>İB - Yöneltme Yerleştirme</t>
  </si>
  <si>
    <t>İPbB - Cinsel İstismar</t>
  </si>
  <si>
    <t>İPbB - Duygusal İhmal</t>
  </si>
  <si>
    <t>İPbB - Duygusal İstismar</t>
  </si>
  <si>
    <t>İPbB - Eğitim İle İlgili İhmal</t>
  </si>
  <si>
    <t>İPbB - Ekonomik İstismar</t>
  </si>
  <si>
    <t>İPbB - Fiziksel İhmal</t>
  </si>
  <si>
    <t>İPbB - Fiziksel İstismar</t>
  </si>
  <si>
    <t>İPbB - Madde Bulundurma</t>
  </si>
  <si>
    <t>İPbB - Madde Kullanımı</t>
  </si>
  <si>
    <t>İPbB - Madde Satışı</t>
  </si>
  <si>
    <t>İPbB - Sağlık İhmali</t>
  </si>
  <si>
    <t>İPbT - Danışmanlık Tedbiri</t>
  </si>
  <si>
    <t>İPbT - Danışmanlık ve Eğitim Tedbiri</t>
  </si>
  <si>
    <t>İPbT - EğitimTedbiri</t>
  </si>
  <si>
    <t>İPbİ - Tamamlanmamış İntihar</t>
  </si>
  <si>
    <t>İPbİ - Tamamlanmış İntihar</t>
  </si>
  <si>
    <t>İS - Diğer</t>
  </si>
  <si>
    <t>İS - RAM Rehberlik ve Psikolojik Danışma Hizmetleri Bölümüne Yönlendirme</t>
  </si>
  <si>
    <t>İS - Sağlık Kuruluşuna Yönlendirme</t>
  </si>
  <si>
    <t>DMVG - Aile</t>
  </si>
  <si>
    <t>DMVG - Akademik Konular</t>
  </si>
  <si>
    <t>DMVG - Danışmanlık Tedbiri</t>
  </si>
  <si>
    <t>DMVG - Okula ve Çevreye Uyum</t>
  </si>
  <si>
    <t>DMVG - Problem Davranış</t>
  </si>
  <si>
    <t>DMVG - Psikolojik Uyum</t>
  </si>
  <si>
    <t>DMVG - Sağlık</t>
  </si>
  <si>
    <t>DMVG - Sevk Bilgilendirme</t>
  </si>
  <si>
    <t>DMVG - Sosyal Uyum</t>
  </si>
  <si>
    <t>DMVG - Sosyoekonomik Konular</t>
  </si>
  <si>
    <t>DMVG - Yöneltme Yerleştirme</t>
  </si>
  <si>
    <t>DMÖG - Aile</t>
  </si>
  <si>
    <t>DMÖG - Akademik Konular</t>
  </si>
  <si>
    <t>DMÖG - Okula ve Çevreye Uyum</t>
  </si>
  <si>
    <t>DMÖG - Problem Davranış</t>
  </si>
  <si>
    <t>DMÖG - Psikolojik Uyum</t>
  </si>
  <si>
    <t>DMÖG - Sağlık</t>
  </si>
  <si>
    <t>DMÖG - Sevk Bilgilendirme</t>
  </si>
  <si>
    <t>DMÖG - Sosyal Uyum</t>
  </si>
  <si>
    <t>DMÖG - Sosyoekonomik Konular</t>
  </si>
  <si>
    <t>DMÖG - Yöneltme Yerleştirme</t>
  </si>
  <si>
    <t>ÖSO - Kimden, nereden, ne zaman ve nasıl yardım isteyebileceğini bilir.</t>
  </si>
  <si>
    <t>ÖSİ1 - Kimden, nereden, ne zaman ve nasıl yardım isteyebileceğini bilir.</t>
  </si>
  <si>
    <t>ÖSİ2 - Kişisel güvenliği için kişisel alanların gerekliliğini fark eder</t>
  </si>
  <si>
    <t>ÖSOR5 - Kimden, nereden, ne zaman ve nasıl yardım isteyebileceğini bilir.</t>
  </si>
  <si>
    <t>ÖSOR8 - Sınavlara ilişkin duygularını açıklar.</t>
  </si>
  <si>
    <t>ÖSL11 - Ergen-ebeveyn ilişkilerini değerlendirir.</t>
  </si>
  <si>
    <t>ÖSÖE35 - Kendini koruma becerisi kazanır</t>
  </si>
  <si>
    <t>ÖSL9 - Kimden, nereden, ne zaman ve nasıl yardım isteyebileceğini bilir.</t>
  </si>
  <si>
    <t>ÖSÖE34 - Kişisel sınırların farkında olur.</t>
  </si>
  <si>
    <t>ÖSL9 - Zorbalıkla baş etme yollarını kullanır</t>
  </si>
  <si>
    <t>S.İ.2.a.1  - Okul Risk Haritası  -  Uygulama</t>
  </si>
  <si>
    <t>S.İ.2.a.2  - Okul Risk Haritası  -  Geribildirim</t>
  </si>
  <si>
    <t xml:space="preserve">S.İ.2.a.3  - Okul Risk Haritası  -  Sonuç Değerlendirme </t>
  </si>
  <si>
    <t>S.İ.4.a.1  - Sınıf Risk Haritası  -  Uygulama</t>
  </si>
  <si>
    <t>S.İ.4.a.2  - Sınıf Risk Haritası  -  Geribildirim</t>
  </si>
  <si>
    <t xml:space="preserve">S.İ.4.a.3  - Sınıf Risk Haritası  -  Sonuç Değerlendirme </t>
  </si>
  <si>
    <t>B.G.G.5.a.1  - Kimdir Bu  -  Uygulama</t>
  </si>
  <si>
    <t>B.G.G.5.a.2  - Kimdir Bu  -  Geribildirim</t>
  </si>
  <si>
    <t xml:space="preserve">B.G.G.5.a.3  - Kimdir Bu  -  Sonuç Değerlendirme </t>
  </si>
  <si>
    <t>B.G.G.6.a.1  - Kime Göre Ben Neyim  -  Uygulama</t>
  </si>
  <si>
    <t>B.G.G.6.a.2  - Kime Göre Ben Neyim  -  Geribildirim</t>
  </si>
  <si>
    <t xml:space="preserve">B.G.G.6.a.3  - Kime Göre Ben Neyim  -  Sonuç Değerlendirme </t>
  </si>
  <si>
    <t>B.G.G.9.a.1  - Sosyometri  -  Uygulama</t>
  </si>
  <si>
    <t>B.G.G.9.a.2  - Sosyometri  -  Geribildirim</t>
  </si>
  <si>
    <t xml:space="preserve">B.G.G.9.a.3  - Sosyometri  -  Sonuç Değerlendirme </t>
  </si>
  <si>
    <t>B.G.G.2.c.1  - Çocuğumu Tanıyorum  -  Uygulama</t>
  </si>
  <si>
    <t>B.G.G.2.c.2  - Çocuğumu Tanıyorum  -  Geribildirim</t>
  </si>
  <si>
    <t xml:space="preserve">B.G.G.2.c.3  - Çocuğumu Tanıyorum  -  Sonuç Değerlendirme </t>
  </si>
  <si>
    <t>ÖOB2.1  - Diğer  -  Uygulama</t>
  </si>
  <si>
    <t>ÖOB2.2  - Diğer  -  Geribildirim</t>
  </si>
  <si>
    <t xml:space="preserve">ÖOB2.3  - Diğer  -  Sonuç Değerlendirme </t>
  </si>
  <si>
    <t>B.K.A.15.a.1  - RİBA  (İlkokul-Öğrenci Formu)  -  Uygulama</t>
  </si>
  <si>
    <t>B.K.A.15.a.2  - RİBA  (İlkokul-Öğrenci Formu)  -  Geribildirim</t>
  </si>
  <si>
    <t xml:space="preserve">B.K.A.15.a.3  - RİBA  (İlkokul-Öğrenci Formu)  -  Sonuç Değerlendirme </t>
  </si>
  <si>
    <t>B.K.A.16.a.1  - RİBA  (Ortaokul-Öğrenci Formu)  -  Uygulama</t>
  </si>
  <si>
    <t>B.K.A.16.a.2  - RİBA  (Ortaokul-Öğrenci Formu)  -  Geribildirim</t>
  </si>
  <si>
    <t xml:space="preserve">B.K.A.16.a.3  - RİBA  (Ortaokul-Öğrenci Formu)  -  Sonuç Değerlendirme </t>
  </si>
  <si>
    <t>B.K.A.17.a.1  - RİBA  (Lise-Öğrenci Formu)  -  Uygulama</t>
  </si>
  <si>
    <t>B.K.A.17.a.2  - RİBA  (Lise-Öğrenci Formu)  -  Geribildirim</t>
  </si>
  <si>
    <t xml:space="preserve">B.K.A.17.a.3  - RİBA  (Lise-Öğrenci Formu)  -  Sonuç Değerlendirme </t>
  </si>
  <si>
    <t>B.K.A.18.a.1  - RİBA (Okulöncesi-Öğretmen Formu)  -  Uygulama</t>
  </si>
  <si>
    <t>B.K.A.18.a.2  - RİBA (Okulöncesi-Öğretmen Formu)  -  Geribildirim</t>
  </si>
  <si>
    <t xml:space="preserve">B.K.A.18.a.3  - RİBA (Okulöncesi-Öğretmen Formu)  -  Sonuç Değerlendirme </t>
  </si>
  <si>
    <t>B.K.A.2.c.1  - Devamsızlık Nedenleri Anketi  -  Uygulama</t>
  </si>
  <si>
    <t>B.K.A.2.c.2  - Devamsızlık Nedenleri Anketi  -  Geribildirim</t>
  </si>
  <si>
    <t xml:space="preserve">B.K.A.2.c.3  - Devamsızlık Nedenleri Anketi  -  Sonuç Değerlendirme </t>
  </si>
  <si>
    <t>B.K.A.19.a.1  - RİBA (İlkokul-Öğretmen Formu)  -  Uygulama</t>
  </si>
  <si>
    <t>B.K.A.19.a.2  - RİBA (İlkokul-Öğretmen Formu)  -  Geribildirim</t>
  </si>
  <si>
    <t xml:space="preserve">B.K.A.19.a.3  - RİBA (İlkokul-Öğretmen Formu)  -  Sonuç Değerlendirme </t>
  </si>
  <si>
    <t>B.K.A.20.a.1  - RİBA(Ortaokul-Öğretmen Formu)  -  Uygulama</t>
  </si>
  <si>
    <t>B.K.A.20.a.2  - RİBA(Ortaokul-Öğretmen Formu)  -  Geribildirim</t>
  </si>
  <si>
    <t xml:space="preserve">B.K.A.20.a.3  - RİBA(Ortaokul-Öğretmen Formu)  -  Sonuç Değerlendirme </t>
  </si>
  <si>
    <t>B.K.A.21.a.1  - RİBA (Lise-Öğretmen Formu)  -  Uygulama</t>
  </si>
  <si>
    <t>B.K.A.21.a.2  - RİBA (Lise-Öğretmen Formu)  -  Geribildirim</t>
  </si>
  <si>
    <t xml:space="preserve">B.K.A.21.a.3  - RİBA (Lise-Öğretmen Formu)  -  Sonuç Değerlendirme </t>
  </si>
  <si>
    <t>B.K.A.22.a.1  - RİBA (Okulöncesi-Veli Formu)  -  Uygulama</t>
  </si>
  <si>
    <t>B.K.A.22.a.2  - RİBA (Okulöncesi-Veli Formu)  -  Geribildirim</t>
  </si>
  <si>
    <t xml:space="preserve">B.K.A.22.a.3  - RİBA (Okulöncesi-Veli Formu)  -  Sonuç Değerlendirme </t>
  </si>
  <si>
    <t>B.K.A.23.a.1  - RİBA (İlkokul-Veli Formu)  -  Uygulama</t>
  </si>
  <si>
    <t>B.K.A.23.a.2  - RİBA (İlkokul-Veli Formu)  -  Geribildirim</t>
  </si>
  <si>
    <t xml:space="preserve">B.K.A.23.a.3  - RİBA (İlkokul-Veli Formu)  -  Sonuç Değerlendirme </t>
  </si>
  <si>
    <t>B.K.A.24.a.1  - RİBA (Ortaokul-Veli Formu)  -  Uygulama</t>
  </si>
  <si>
    <t>B.K.A.24.a.2  - RİBA (Ortaokul-Veli Formu)  -  Geribildirim</t>
  </si>
  <si>
    <t xml:space="preserve">B.K.A.24.a.3  - RİBA (Ortaokul-Veli Formu)  -  Sonuç Değerlendirme </t>
  </si>
  <si>
    <t>B.K.A.25.a.1  - RİBA (Lise-Veli Formu)  -  Uygulama</t>
  </si>
  <si>
    <t>B.K.A.25.a.2  - RİBA (Lise-Veli Formu)  -  Geribildirim</t>
  </si>
  <si>
    <t xml:space="preserve">B.K.A.25.a.3  - RİBA (Lise-Veli Formu)  -  Sonuç Değerlendirme </t>
  </si>
  <si>
    <t>B.G.D.1.c.1  - Snellen  Testi  -  Uygulama</t>
  </si>
  <si>
    <t>B.G.D.1.c.2  - Snellen  Testi  -  Geribildirim</t>
  </si>
  <si>
    <t xml:space="preserve">B.G.D.1.c.3  - Snellen  Testi  -  Sonuç Değerlendirme </t>
  </si>
  <si>
    <t>ÖOVKg - Aile İçi İletişim</t>
  </si>
  <si>
    <t>ÖOVKg - Akran Arabuluculuğu</t>
  </si>
  <si>
    <t>ÖOVKg - Akran Zorbalığı</t>
  </si>
  <si>
    <t>ÖOVKg - Alkol Bağımlılığını Önleme</t>
  </si>
  <si>
    <t>ÖOVKg - Atılganlık</t>
  </si>
  <si>
    <t>ÖOVKg - Bağımlılıkla Mücadele Yaşam Becerileri Eğitimi (YYBE)</t>
  </si>
  <si>
    <t>ÖOVKg - Bilinçli Teknoloji Kullanımı</t>
  </si>
  <si>
    <t>ÖOVKg - Bireysel Farklılıklara Saygı</t>
  </si>
  <si>
    <t>ÖOVKg - Çatışma Çözme Becerileri</t>
  </si>
  <si>
    <t>ÖOVKg - Çocuk Hakları ve Çocuk Kıymeti</t>
  </si>
  <si>
    <t>ÖOVKg - Çocuklarda Cinsel Eğitim</t>
  </si>
  <si>
    <t>ÖOVKg - Değişen Yaşam Koşullarına Uyum</t>
  </si>
  <si>
    <t>ÖOVKg - Duygu Düzenleme</t>
  </si>
  <si>
    <t>ÖOVKg - Duygu Farkındalığı</t>
  </si>
  <si>
    <t>ÖOVKg - Duygu Kontrolü</t>
  </si>
  <si>
    <t>ÖOVKg - Eleştirel Düşünme Becerisi</t>
  </si>
  <si>
    <t>ÖOVKg - Eleştiriye Tolerans Gösterme</t>
  </si>
  <si>
    <t>ÖOVKg - Ergenleri Bilgilendirme ve Farkındalık Kazandırma Eğitim Programı</t>
  </si>
  <si>
    <t>ÖOVKg - Etik Davranış</t>
  </si>
  <si>
    <t>ÖOVKg - Geleceği Planlama</t>
  </si>
  <si>
    <t>ÖOVKg - Gelişim Dönemi Özellikleri</t>
  </si>
  <si>
    <t>ÖOVKg - Girişimcilik</t>
  </si>
  <si>
    <t>ÖOVKg - Hayat Boyu Öğrenme</t>
  </si>
  <si>
    <t>ÖOVKg - İhmal ve İstismar Farkındalığı</t>
  </si>
  <si>
    <t>ÖOVKg - İletişim Becerileri</t>
  </si>
  <si>
    <t>ÖOVKg - İşbirliği Geliştirme</t>
  </si>
  <si>
    <t>ÖOVKg - Kadına Yönelik Şiddetin Önlenmesi</t>
  </si>
  <si>
    <t>ÖOVKg - Karar Verme Becerisi</t>
  </si>
  <si>
    <t>ÖOVKg - Madde Bağımlılığını Önleme</t>
  </si>
  <si>
    <t>ÖOVKg - Mükemmelliyetçilik</t>
  </si>
  <si>
    <t>ÖOVKg - Okulda Devamsızlığın Önlenmesi (ŞNT II)</t>
  </si>
  <si>
    <t>ÖOVKg - Olumlu Davranış Geliştirme</t>
  </si>
  <si>
    <t>ÖOVKg - Otokontrol</t>
  </si>
  <si>
    <t>ÖOVKg - Öfke Yönetimi</t>
  </si>
  <si>
    <t>ÖOVKg - Öz Bakım Becerileri</t>
  </si>
  <si>
    <t>ÖOVKg - Öz Farkındalığı Geliştirme</t>
  </si>
  <si>
    <t>ÖOVKg - Özgüven Geliştirme</t>
  </si>
  <si>
    <t>ÖOVKg - Özsaygı Geliştirme</t>
  </si>
  <si>
    <t>ÖOVKg - Problem Çözme Becerileri</t>
  </si>
  <si>
    <t>ÖOVKg - Psikolojik Sağlamlık</t>
  </si>
  <si>
    <t>ÖOVKg - Psikolojik Sağlamlık Psikoeğitim Programı</t>
  </si>
  <si>
    <t>ÖOVKg - Psikososyal Destek-CİNSEL İSTİSMAR</t>
  </si>
  <si>
    <t>ÖOVKg - Psikososyal Destek-DOĞAL AFET</t>
  </si>
  <si>
    <t>ÖOVKg - Psikososyal Destek-GÖÇ</t>
  </si>
  <si>
    <t>ÖOVKg - Psikososyal Destek-İNTİHAR</t>
  </si>
  <si>
    <t>ÖOVKg - Psikososyal Destek-TERÖR</t>
  </si>
  <si>
    <t>ÖOVKg - Psikososyal Destek-YAS</t>
  </si>
  <si>
    <t>ÖOVKg - Sağlıklı Yaşam</t>
  </si>
  <si>
    <t>ÖOVKg - Sınır Koyma</t>
  </si>
  <si>
    <t>ÖOVKg - Siber Zorbalık</t>
  </si>
  <si>
    <t>ÖOVKg - Sosyal Beceriler</t>
  </si>
  <si>
    <t>ÖOVKg - Sosyal Uyum</t>
  </si>
  <si>
    <t>ÖOVKg - Stresle Baş Etme Becerileri</t>
  </si>
  <si>
    <t>ÖOVKg - Şiddeti Önleme</t>
  </si>
  <si>
    <t>ÖOVKg - (TBM) Alkol Bağımlılığı</t>
  </si>
  <si>
    <t>ÖOVKg - (TBM) Kumar Bağımlılığı</t>
  </si>
  <si>
    <t>ÖOVKg - (TBM) Madde Bağımlılığı</t>
  </si>
  <si>
    <t>ÖOVKg - (TBM) Sağlıklı Yaşam</t>
  </si>
  <si>
    <t>ÖOVKg - (TBM) Teknoloji Bağımlılığı</t>
  </si>
  <si>
    <t>ÖOVKg - (TBM) Tütün Bağımlılığı</t>
  </si>
  <si>
    <t>ÖOVKg - Teknoloji Bağımlılığını Önleme</t>
  </si>
  <si>
    <t>ÖOVKg - Toplumsal Uyum Becerileri</t>
  </si>
  <si>
    <t>ÖOVKg - Tütün Bağımlılığını Önleme</t>
  </si>
  <si>
    <t>ÖOVKg - Yaratıcı Düşünme Becerisi</t>
  </si>
  <si>
    <t>ÖOVKg - Yardım Arama</t>
  </si>
  <si>
    <t>ÖAVKg - Yaşam Becerileri</t>
  </si>
  <si>
    <t>ÖOVKg - Yetersizliği Kabul</t>
  </si>
  <si>
    <t>ÖOVEg - Akademik Özyeterlik</t>
  </si>
  <si>
    <t>ÖOVEg - Çalışma Programı Hazırlama</t>
  </si>
  <si>
    <t>ÖOVEg - Ders Seçimi</t>
  </si>
  <si>
    <t>ÖOVEg - Devamsızlığı Önleme</t>
  </si>
  <si>
    <t>ÖOVEg - Dikkat Geliştirme Çalışmaları</t>
  </si>
  <si>
    <t>ÖOVEg - Doğru Bilgi Kaynakları (YÖK ATLAS, ÖSYM, TÜBİTAK vb.)</t>
  </si>
  <si>
    <t>ÖOVEg - E-KPSS</t>
  </si>
  <si>
    <t>ÖOVEg - Hedef Belirleme</t>
  </si>
  <si>
    <t>ÖOVEg - Motivasyon</t>
  </si>
  <si>
    <t>ÖOVEg - Okul Başarısını Artırma</t>
  </si>
  <si>
    <t>ÖOVEg - Okul Kuralları</t>
  </si>
  <si>
    <t>ÖOVEg - Okul Olgunluğu</t>
  </si>
  <si>
    <t>ÖOVEg - Okula ve Çevreye Uyum</t>
  </si>
  <si>
    <t>ÖOVEg - Okulda Seçilebilecek Alan/Dallar</t>
  </si>
  <si>
    <t>ÖOVEg - Okuldaki ve Okul  Çevresindeki Eğitim Olanakları</t>
  </si>
  <si>
    <t>ÖOVEg - Okullara/Sınavlara Başvuru Kılavuzları</t>
  </si>
  <si>
    <t>ÖOVEg - Okulun Fiziksel İmkanları</t>
  </si>
  <si>
    <t>ÖOVEg - Okulun Sosyokültürel İmkanları</t>
  </si>
  <si>
    <t>ÖOVEg - Öğrenciyi İlgilendiren Yönetmelikler</t>
  </si>
  <si>
    <t>ÖOVEg - Öğrenme Stilleri</t>
  </si>
  <si>
    <t>ÖOVEg - Öz Disiplin Geliştirme</t>
  </si>
  <si>
    <t>ÖOVEg - Öz Düzenlemeli Öğrenme</t>
  </si>
  <si>
    <t>ÖOVEg - Rehberlik ve Psikolojik Danışma Servisinin Tanıtılması</t>
  </si>
  <si>
    <t>ÖOVEg - Serbest Zamanı Değerlendirme</t>
  </si>
  <si>
    <t>ÖOVEg - Sınav Kaygısı</t>
  </si>
  <si>
    <t>ÖOVEg - Sınavda Başarılı Olma Stratejileri</t>
  </si>
  <si>
    <t>ÖOVEg - Sınavlarda Başarılı Olma Ve Çalışma Yolları</t>
  </si>
  <si>
    <t>ÖOVEg - Üst Öğrenim Kurumlarında Tercih Edilebilecek Alan/Dallar</t>
  </si>
  <si>
    <t>ÖOVEg - Üst Öğrenim Kurumlarının Tanıtılması</t>
  </si>
  <si>
    <t>ÖOVEg - Üst Öğrenimde Yararlanılacak Burslar ve Barınma Olanakları</t>
  </si>
  <si>
    <t>ÖOVEg - Üst Öğrenime Geçiş Sınavları</t>
  </si>
  <si>
    <t>ÖOVEg - Verimli Ders Çalışma Teknikleri</t>
  </si>
  <si>
    <t>ÖOVEg - Yurt Dışı Eğitim Olanakları</t>
  </si>
  <si>
    <t>ÖOVEg - Zaman Yönetimi</t>
  </si>
  <si>
    <t>ÖOVEg - Zeka Türleri ve Özellikleri</t>
  </si>
  <si>
    <t>ÖOVMg - Bir Meslek Elemanını Sınıfa/Okula Davet Etme</t>
  </si>
  <si>
    <t>ÖOVMg - Çalışan/işveren Hak ve Sorumlulukları</t>
  </si>
  <si>
    <t>ÖOVMg - Çevredeki İş Olanakları ve Çalışma Koşulları</t>
  </si>
  <si>
    <t>ÖOVMg - İş Görüşmesi Becerileri</t>
  </si>
  <si>
    <t>ÖOVMg - İş ve Mesleğe Hazırlayan Kurum ve Kursların Tanıtımı</t>
  </si>
  <si>
    <t>ÖOVMg - İş ve Meslek Etiği</t>
  </si>
  <si>
    <t>ÖOVMg - İş Yaşamına Yönelik Beceriler</t>
  </si>
  <si>
    <t>ÖOVMg - Kalfalık ve Ustalık Sistemleri Hakkında Bilgilendirme</t>
  </si>
  <si>
    <t>ÖOVMg - Kariyer Gelişimi</t>
  </si>
  <si>
    <t>ÖOVMg - Kariyer Olgunluğu</t>
  </si>
  <si>
    <t>ÖOVMg - Kariyer Planlama</t>
  </si>
  <si>
    <t>ÖOVMg - Meslek ile İlgi, Değer, Yetenek ve Kişisel Özellik  İlişkisi</t>
  </si>
  <si>
    <t>ÖOVMg - Meslek Sahibi Olmanın Önemi</t>
  </si>
  <si>
    <t>ÖOVMg - Meslek Seçerken Dikkat Edilmesi Gereken Hususlar</t>
  </si>
  <si>
    <t>ÖOVMg - Meslek Tanıtımı</t>
  </si>
  <si>
    <t>ÖOVMg - Mesleki Benlik</t>
  </si>
  <si>
    <t>ÖOVMg - Mesleki Hedef Belirleme</t>
  </si>
  <si>
    <t>ÖOVMg - Özgeçmiş Hazırlama</t>
  </si>
  <si>
    <t>ÖOVMg - Staj</t>
  </si>
  <si>
    <t>ÖOY - Alan/Dal Tercihleri</t>
  </si>
  <si>
    <t>ÖOY - Seçmeli Ders</t>
  </si>
  <si>
    <t>ÖOY - Sosyal Kulüpler</t>
  </si>
  <si>
    <t>ÖOY - Sosyal Ve Kültürel Faaliyetler</t>
  </si>
  <si>
    <t>İS - Değişen Ben-Grupla Müdahale Programı</t>
  </si>
  <si>
    <t>İG - Okulda Devamsızlığın Önlenmesi (ŞNT II)</t>
  </si>
  <si>
    <t>İG - Travma Sonrası Grup Temelli Müdahale Programı (TS-GTM)</t>
  </si>
  <si>
    <t>İG - Zorlayıcı Yaşam Olayları Sonrası Sınıf Temelli  Müdahale (STM) Programı</t>
  </si>
  <si>
    <t>İpg - Akran Zorbalığı</t>
  </si>
  <si>
    <t>İpg - Psikososyal Destek-CİNSEL İSTİSMAR</t>
  </si>
  <si>
    <t>İpg - Psikososyal Destek-ÇIĞ</t>
  </si>
  <si>
    <t>İpg - Psikososyal Destek-DEPREM</t>
  </si>
  <si>
    <t>İpg - Psikososyal Destek-GÖÇ</t>
  </si>
  <si>
    <t>İpg - Psikososyal Destek-İNTİHAR</t>
  </si>
  <si>
    <t>İPg - Psikososyal Destek-MADEN KAZASI</t>
  </si>
  <si>
    <t>İPg - Psikososyal Destek-SALGIN HASTALIK</t>
  </si>
  <si>
    <t>İpg - Psikososyal Destek-SEL</t>
  </si>
  <si>
    <t>İpg - Psikososyal Destek-TERÖR</t>
  </si>
  <si>
    <t>İpg - Psikososyal Destek-YANGIN</t>
  </si>
  <si>
    <t>İpg - Psikososyal Destek-YAS</t>
  </si>
  <si>
    <t>İpg - Siber Zorbalık</t>
  </si>
  <si>
    <t>İpg - Sosyal Uyum Grup Müdahale Programı</t>
  </si>
  <si>
    <t>DMVE - Aile İçi İletişim</t>
  </si>
  <si>
    <t>DMVE - Akademik Özyeterlik</t>
  </si>
  <si>
    <t>DMVE - Akran Arabuluculuğu</t>
  </si>
  <si>
    <t>DMVE - Akran Zorbalığı</t>
  </si>
  <si>
    <t>DMVE - Alan/Dal Tanıtımı ve Seçimi</t>
  </si>
  <si>
    <t>DMVE - Alkol Bağımlılığını Önleme</t>
  </si>
  <si>
    <t>DMVE - Anne Baba Tutumları</t>
  </si>
  <si>
    <t>DMVE - Atılganlık</t>
  </si>
  <si>
    <t>DMVE - Baba Destek Programı</t>
  </si>
  <si>
    <t>DMVE - Bilinçli Teknoloji Kullanımı</t>
  </si>
  <si>
    <t>DMVE - BİLSEM Tanıtımı</t>
  </si>
  <si>
    <t>DMVE - Bireysel Farklılıklara Saygı</t>
  </si>
  <si>
    <t>DMVE - Çatışma Çözme Becerileri</t>
  </si>
  <si>
    <t>DMVE - Çevredeki İş Olanakları ve Çalışma Koşulları</t>
  </si>
  <si>
    <t>DMVE - Çocuk Hakları ve Çocuk Kıymeti</t>
  </si>
  <si>
    <t>DMVE - Çocuk ve Ergen Gelişim Dönemleri</t>
  </si>
  <si>
    <t>DMVE - Çocuklar ve Oyun</t>
  </si>
  <si>
    <t>DMVE - Çocuklarda Cinsel Eğitim</t>
  </si>
  <si>
    <t>DMVE - Çocuklarda Öz Disiplin Geliştirme</t>
  </si>
  <si>
    <t>DMVE - Davranış Sorunları</t>
  </si>
  <si>
    <t>DMVE - Değişen Ben-Veli Destek Programı</t>
  </si>
  <si>
    <t>DMVE - Değişen Yaşam Koşullarına Uyum</t>
  </si>
  <si>
    <t>DMVE - Ders Seçimi</t>
  </si>
  <si>
    <t>DMVE - Devamsızlığı Önleme</t>
  </si>
  <si>
    <t>DMVE - Dikkat Geliştirme Çalışmaları</t>
  </si>
  <si>
    <t>DMVE - Duygu Düzenleme</t>
  </si>
  <si>
    <t>DMVE - Duygu Farkındalığı</t>
  </si>
  <si>
    <t>DMVE - Ebeveynlik Becerileri</t>
  </si>
  <si>
    <t>DMVE - E-KPSS</t>
  </si>
  <si>
    <t>DMVE - Eleştiriye Tolerans Gösterme</t>
  </si>
  <si>
    <t>DMVE - Engel Türleri ve Tanılama Süreçleri</t>
  </si>
  <si>
    <t>DMVE - Etik Davranış</t>
  </si>
  <si>
    <t>DMVE - Geleceği Planlama</t>
  </si>
  <si>
    <t>DMVE - Girişimcilik</t>
  </si>
  <si>
    <t>DMVE - Hedef Belirleme</t>
  </si>
  <si>
    <t>DMVE - İhmal ve İstismar Farkındalığı</t>
  </si>
  <si>
    <t>DMVE - İletişim Becerileri</t>
  </si>
  <si>
    <t>DMVE - İş Yaşamına Yönelik Beceriler</t>
  </si>
  <si>
    <t>DMVE - İşbirliği Geliştirme</t>
  </si>
  <si>
    <t>DMVE - Kadına Yönelik Şiddetin Önlenmesi</t>
  </si>
  <si>
    <t>DMVE - Kalfalık ve Ustalık Sistemleri Hakkında Bilgilendirme</t>
  </si>
  <si>
    <t>DMVE - Karar Verme Becerisi</t>
  </si>
  <si>
    <t>DMVE - Kariyer Farkındalığı Aile Eğitim Programı</t>
  </si>
  <si>
    <t>DMVE - Kariyer Gelişimi</t>
  </si>
  <si>
    <t>DMVE - Kariyer Planlama</t>
  </si>
  <si>
    <t>DMVE - Kuşaklararası İletişim</t>
  </si>
  <si>
    <t>DMVE - Madde Bağımlılığını Önleme</t>
  </si>
  <si>
    <t>DMVE - Meslek ile İlgi, Değer, Yetenek ve Kişisel Özellik İlişkisi</t>
  </si>
  <si>
    <t>DMVE - Meslek Sahibi Olmanın Önemi</t>
  </si>
  <si>
    <t>DMVE - Meslek Seçerken Dikkat Edilmesi Gereken Hususlar</t>
  </si>
  <si>
    <t>DMVE - Meslek Tanıtımı</t>
  </si>
  <si>
    <t>DMVE - Mesleki Benlik</t>
  </si>
  <si>
    <t>DMVE - Motivasyon</t>
  </si>
  <si>
    <t>DMVE - Mükemmelliyetçilik</t>
  </si>
  <si>
    <t>DMVE - Okul Başarısında Ailenin Rolü</t>
  </si>
  <si>
    <t>DMVE - Okul Kuralları</t>
  </si>
  <si>
    <t>DMVE - Okul Olgunluğu</t>
  </si>
  <si>
    <t>DMVE - Okula Uyum Çalışmaları</t>
  </si>
  <si>
    <t>DMVE - Okulda Devamsızlığın Önlenmesi (ŞNT II)</t>
  </si>
  <si>
    <t>DMVE - Okulda Seçilebilecek Alan ve Dallar</t>
  </si>
  <si>
    <t>DMVE - Olumlu Davranış Geliştirme</t>
  </si>
  <si>
    <t>DMVE - Otokontrol</t>
  </si>
  <si>
    <t>DMVE - Öfke Yönetimi</t>
  </si>
  <si>
    <t>DMVE - Öğrenciyi İlgilendiren Yönetmelikler</t>
  </si>
  <si>
    <t>DMVE - Öğrenme Stilleri</t>
  </si>
  <si>
    <t>DMVE - Öz Bakım Becerileri</t>
  </si>
  <si>
    <t>DMVE - Öz Düzenlemeli Öğrenme</t>
  </si>
  <si>
    <t>DMVE - Öz Farkındalığı Geliştirme</t>
  </si>
  <si>
    <t>DMVE - Özel Eğitim Gereksinimli Öğrencilerin Eğitim Olanakları</t>
  </si>
  <si>
    <t>DMVE - Özel Eğitim Gereksinimli Öğrencilerin Gelişim Özellikleri</t>
  </si>
  <si>
    <t>DMVE - Özgüven Geliştirme</t>
  </si>
  <si>
    <t>DMVE - Özsaygı Geliştirme</t>
  </si>
  <si>
    <t>DMVE - Problem Çözme Becerileri</t>
  </si>
  <si>
    <t>DMVE - Psikolojik Sağlamlık</t>
  </si>
  <si>
    <t>DMVE - Psikososyal Destek-CİNSEL İSTİSMAR</t>
  </si>
  <si>
    <t>DMVE - Psikososyal Destek-DOĞAL AFET</t>
  </si>
  <si>
    <t>DMVE - Psikososyal Destek-GÖÇ</t>
  </si>
  <si>
    <t>DMVE - Psikososyal Destek-İNTİHAR</t>
  </si>
  <si>
    <t>DMVE - Psikososyal Destek-TERÖR</t>
  </si>
  <si>
    <t>DMVE - Psikososyal Destek-YAS</t>
  </si>
  <si>
    <t>DMVE - Rehberlik ve Psikolojik Danışma Servisinin Tanıtılması</t>
  </si>
  <si>
    <t>DMVE - Sağlıklı Yaşam</t>
  </si>
  <si>
    <t>DMVE - Serbest Zamanı Değerlendirme</t>
  </si>
  <si>
    <t>DMVE - Sınav Kaygısı</t>
  </si>
  <si>
    <t>DMVE - Sınır Koyma</t>
  </si>
  <si>
    <t>DMVE - Siber Zorbalık</t>
  </si>
  <si>
    <t>DMVE - Sosyal Beceriler</t>
  </si>
  <si>
    <t>DMVE - Sosyal Uyum</t>
  </si>
  <si>
    <t>DMVE - Stres Yönetimi</t>
  </si>
  <si>
    <t>DMVE - Şiddetin Önlenmesi</t>
  </si>
  <si>
    <t>DMVE - (TBM) Kumar Bağımlılığı</t>
  </si>
  <si>
    <t>DMVE - (TBM) Teknoloji Bağımlılığı</t>
  </si>
  <si>
    <t>DMVE - (TBM)Alkol Bağımlılığı</t>
  </si>
  <si>
    <t>DMVE - (TBM)Madde Bağımlılığı</t>
  </si>
  <si>
    <t>DMVE - (TBM)Sağlıklı Yaşam</t>
  </si>
  <si>
    <t>DMVE - (TBM)Tütün Bağımlılı</t>
  </si>
  <si>
    <t>DMVE - Tek Ebeveynlilik</t>
  </si>
  <si>
    <t>DMVE - Teknoloji Bağımlılığını Önleme</t>
  </si>
  <si>
    <t>DMVE - Toplumsal Uyum Becerileri</t>
  </si>
  <si>
    <t>DMVE - Tütün Bağımlılığını Önleme</t>
  </si>
  <si>
    <t>DMVE - Üst Öğrenim Kurumları</t>
  </si>
  <si>
    <t>DMVE - Üst Öğrenime Geçiş Sınavları</t>
  </si>
  <si>
    <t>DMVE - Verimli Ders Çalışma Teknikleri</t>
  </si>
  <si>
    <t>DMVE - Yaratıcılık</t>
  </si>
  <si>
    <t>DMVE - Yardım Arama</t>
  </si>
  <si>
    <t>DMVE - Yaşam Becerileri</t>
  </si>
  <si>
    <t>DMVE - Yetersizliği Kabul</t>
  </si>
  <si>
    <t>DMVE - Zaman Yönetimi</t>
  </si>
  <si>
    <t>DMÖE - Aile İçi İletişim</t>
  </si>
  <si>
    <t>DMÖE - Akademik Özyeterlik</t>
  </si>
  <si>
    <t>DMÖE - Akran Arabuluculuğu</t>
  </si>
  <si>
    <t>DMÖE - Akran Zorbalığı</t>
  </si>
  <si>
    <t>DMÖE - Alkol Bağımlılığını Önleme</t>
  </si>
  <si>
    <t>DMÖE - Anne Baba Tutumları</t>
  </si>
  <si>
    <t>DMÖE - Atılganlık</t>
  </si>
  <si>
    <t>DMÖE - BEP Hazırlama</t>
  </si>
  <si>
    <t>DMÖE - Bilinçli Teknoloji Kullanımı</t>
  </si>
  <si>
    <t>DMÖE - BİLSEM Tanıtımı</t>
  </si>
  <si>
    <t>DMÖE - Bireyi Tanıma Teknikleri</t>
  </si>
  <si>
    <t>DMÖE - Bireysel Farklılıklara Saygı</t>
  </si>
  <si>
    <t>DMÖE - Çatışma Çözme Becerileri</t>
  </si>
  <si>
    <t>DMÖE - Çocuk Hakları ve Çocuk Kıymeti</t>
  </si>
  <si>
    <t>DMÖE - Çocuk ve Ergenlerin Gelişim Özellikleri</t>
  </si>
  <si>
    <t>DMÖE - Çocuklar ve Oyun</t>
  </si>
  <si>
    <t>DMÖE - Çocuklarda Cinsel Eğitim</t>
  </si>
  <si>
    <t>DMÖE - Davranış Değiştirme Teknikleri</t>
  </si>
  <si>
    <t>DMÖE - Değişen Ben-Öğretmen Destek Programı</t>
  </si>
  <si>
    <t>DMÖE - Değişen Yaşam Koşullarına Uyum</t>
  </si>
  <si>
    <t>DMÖE - Destek Eğitim Odası Hizmetleri</t>
  </si>
  <si>
    <t>DMÖE - Devamsızlığı Önleme</t>
  </si>
  <si>
    <t>DMÖE - Dikkat Geliştirme Çalışmaları</t>
  </si>
  <si>
    <t>DMÖE - Duygu Düzenleme</t>
  </si>
  <si>
    <t>DMÖE - Duygu Farkındalığı</t>
  </si>
  <si>
    <t>DMÖE - E-KPSS</t>
  </si>
  <si>
    <t>DMÖE - Eleştiriye Tolerans Gösterme</t>
  </si>
  <si>
    <t>DMÖE - Engel Türleri ve Tanılama Süreçleri</t>
  </si>
  <si>
    <t>DMÖE - Etik Davranış</t>
  </si>
  <si>
    <t>DMÖE - Geleceği Planlama</t>
  </si>
  <si>
    <t>DMÖE - Gelişim Dönemi Özellikleri</t>
  </si>
  <si>
    <t>DMÖE - Girişimcilik</t>
  </si>
  <si>
    <t>DMÖE - Hak ve Sorumluluklarını Bilme</t>
  </si>
  <si>
    <t>DMÖE - Hayat Boyu Öğrenme</t>
  </si>
  <si>
    <t>DMÖE - Hedef Belirleme</t>
  </si>
  <si>
    <t>DMÖE - İhmal ve İstismar Farkındalığı</t>
  </si>
  <si>
    <t>DMÖE - İletişim Becerileri</t>
  </si>
  <si>
    <t>DMÖE - İş ve Meslek Etiği</t>
  </si>
  <si>
    <t>DMÖE - İş Yaşamına Yönelik Beceriler</t>
  </si>
  <si>
    <t>DMÖE - İşbirliği Geliştirme</t>
  </si>
  <si>
    <t>DMÖE - Kadına Yönelik Şiddetin Önlenmesi</t>
  </si>
  <si>
    <t>DMÖE - Kalfalık ve Ustalık Sistemleri Hakkında Bilgilendirme</t>
  </si>
  <si>
    <t>DMÖE - Karar Verme Becerisi</t>
  </si>
  <si>
    <t>DMÖE - Kariyer Gelişimi</t>
  </si>
  <si>
    <t>DMÖE - Kariyer Planlama</t>
  </si>
  <si>
    <t>DMÖE - Kuşaklararası İletişim</t>
  </si>
  <si>
    <t>DMÖE - Madde Bağımlılığını Önleme</t>
  </si>
  <si>
    <t>DMÖE - Meslek Seçerken Dikkat Edilmesi Gerekenler</t>
  </si>
  <si>
    <t>DMÖE - Meslekle İlgi,Yetenek, Değer ve Kişisel Özellik İlişkisi</t>
  </si>
  <si>
    <t>DMÖE - Motivasyon</t>
  </si>
  <si>
    <t>DMÖE - Mükemmelliyetçilik</t>
  </si>
  <si>
    <t>DMÖE - Okul Başarısını Artırma</t>
  </si>
  <si>
    <t>DMÖE - Okul Kuralları</t>
  </si>
  <si>
    <t>DMÖE - Okul Olgunluğu</t>
  </si>
  <si>
    <t>DMÖE - Okul ve Çevresindeki Sosyokültürel İmkanlar</t>
  </si>
  <si>
    <t>DMÖE - Okula ve Çevreye Uyum</t>
  </si>
  <si>
    <t>DMÖE - Okulda Seçilecek Alan/Dallar</t>
  </si>
  <si>
    <t>DMÖE - Olumlu Davranış Geliştirme</t>
  </si>
  <si>
    <t>DMÖE - Otokontrol</t>
  </si>
  <si>
    <t>DMÖE - Öfke Yönetimi</t>
  </si>
  <si>
    <t>DMÖE - Öğrenme Stilleri</t>
  </si>
  <si>
    <t>DMÖE - Öğretmen Grubuyla Vaka Paylaşımı</t>
  </si>
  <si>
    <t>DMÖE - Öz Disiplin Geliştirme</t>
  </si>
  <si>
    <t>DMÖE - Öz Düzenlemeli Öğrenme</t>
  </si>
  <si>
    <t>DMÖE - Öz Farkındalığı Geliştirme</t>
  </si>
  <si>
    <t>DMÖE - Özel Eğitim Gereksinimli Öğrencilerin Eğitim Olanakları</t>
  </si>
  <si>
    <t>DMÖE - Özel Eğitim Gereksinimli Öğrencilerin Gelişim Özellikleri</t>
  </si>
  <si>
    <t>DMÖE - Özgüven Geliştirme</t>
  </si>
  <si>
    <t>DMÖE - Özsaygı Geliştirme</t>
  </si>
  <si>
    <t>DMÖE - Problem Çözme Becerileri</t>
  </si>
  <si>
    <t>DMÖE - Psikolojik Sağlamlık</t>
  </si>
  <si>
    <t>DMÖE - Psikososyal Destek-CİNSEL İSTİSMAR</t>
  </si>
  <si>
    <t>DMÖE - Psikososyal Destek-DOĞAL AFET</t>
  </si>
  <si>
    <t>DMÖE - Psikososyal Destek-GÖÇ</t>
  </si>
  <si>
    <t>DMÖE - Psikososyal Destek-İNTİHAR</t>
  </si>
  <si>
    <t>DMÖE - Psikososyal Destek-TERÖR</t>
  </si>
  <si>
    <t>DMÖE - Psikososyal Destek-YAS</t>
  </si>
  <si>
    <t>DMÖE - RAM- Okul RPD Programı Bilgilendirme</t>
  </si>
  <si>
    <t>DMÖE - RAM- Okul RPD Programı Geri Bildirim Verme</t>
  </si>
  <si>
    <t>DMÖE - RAM-Okul Ziyaretleri</t>
  </si>
  <si>
    <t>DMÖE - Rehberlik ve Psikolojik Danışma Servisinin Tanıtılması</t>
  </si>
  <si>
    <t>DMÖE - Sağlıklı Yaşam</t>
  </si>
  <si>
    <t>DMÖE - Serbest Zamanı Değerlendirme</t>
  </si>
  <si>
    <t>DMÖE - Sınav Kaygısı</t>
  </si>
  <si>
    <t>DMÖE - Sınıf Rehberlik Programı</t>
  </si>
  <si>
    <t>DMÖE - Sınıf Yönetimi</t>
  </si>
  <si>
    <t>DMÖE - Sınır Koyma</t>
  </si>
  <si>
    <t>DMÖE - Siber Zorbalık</t>
  </si>
  <si>
    <t>DMÖE - Sosyal Beceriler</t>
  </si>
  <si>
    <t>DMÖE - Sosyal Uyum</t>
  </si>
  <si>
    <t>DMÖE - Stres Yönetimi</t>
  </si>
  <si>
    <t>DMÖE - Şiddetin Önlenmesi</t>
  </si>
  <si>
    <t>DMÖE - (TBM) Kumar Bağımlılığı</t>
  </si>
  <si>
    <t>DMÖE - (TBM) Teknoloji Bağımlılığı</t>
  </si>
  <si>
    <t>DMÖE - (TBM)Alkol Bağımlılığı</t>
  </si>
  <si>
    <t>DMÖE - (TBM)Madde Bağımlılığı</t>
  </si>
  <si>
    <t>DMÖE - (TBM)Sağlıklı Yaşam</t>
  </si>
  <si>
    <t>DMÖE - (TBM)Tütün Bağımlılı</t>
  </si>
  <si>
    <t>DMÖE - Tek Ebeveynlik</t>
  </si>
  <si>
    <t>DMÖE - Teknoloji Bağımlılığını Önleme</t>
  </si>
  <si>
    <t>DMÖE - Toplumsal Uyum Becerileri</t>
  </si>
  <si>
    <t>DMÖE - Tütün Bağımlılığını Önleme</t>
  </si>
  <si>
    <t>DMÖE - Üst Öğrenim Kurumları</t>
  </si>
  <si>
    <t>DMÖE - Üst Öğrenime Geçiş Sınavları</t>
  </si>
  <si>
    <t>DMÖE - Verimli Ders Çalışma Teknikleri</t>
  </si>
  <si>
    <t>DMÖE - Yaratıcılık</t>
  </si>
  <si>
    <t>DMÖE - Yardım Arama</t>
  </si>
  <si>
    <t>DMÖE - Yaşam Becerileri</t>
  </si>
  <si>
    <t>DMÖE - Yetersizliği Kabul</t>
  </si>
  <si>
    <t>DMÖE - Zaman Yönetimi</t>
  </si>
  <si>
    <t>DMDE - Aile İçi İletişim</t>
  </si>
  <si>
    <t>DMDE - Alkol Bağımlılığını Önleme</t>
  </si>
  <si>
    <t>DMDE - Bağımlılıkla Mücadele</t>
  </si>
  <si>
    <t>DMDE - Bilinçli Teknoloji Kullanımı</t>
  </si>
  <si>
    <t>DMDE - Çocuk Hakları ve Çocuk Kıymeti</t>
  </si>
  <si>
    <t>DMDE - Çocuk ve Ergen Gelişim Dönemi Özellikleri</t>
  </si>
  <si>
    <t>DMDE - Eğitim kurumunun tanıtımı</t>
  </si>
  <si>
    <t>DMDE - İhmal ve İstismar Farkındalığı</t>
  </si>
  <si>
    <t>DMDE - İletişim Becerileri</t>
  </si>
  <si>
    <t>DMDE - Kadına Yönelik Şiddetin Önlenmesi</t>
  </si>
  <si>
    <t>DMDE - Madde Bağımlılığını Önleme</t>
  </si>
  <si>
    <t>DMDE - Okula Uyum Çalışmaları</t>
  </si>
  <si>
    <t>DMDE - Öfke Yönetimi</t>
  </si>
  <si>
    <t>DMDE - Özel Eğitim Gereksinimli Öğrencilerin Gelişim Özellikleri</t>
  </si>
  <si>
    <t>DMDE - Psikolojik Sağlamlık</t>
  </si>
  <si>
    <t>DMDE - Psikososyal Destek-CİNSEL İSTİSMAR</t>
  </si>
  <si>
    <t>DMDE - Psikososyal Destek-DOĞAL AFET</t>
  </si>
  <si>
    <t>DMDE - Psikososyal Destek-GÖÇ</t>
  </si>
  <si>
    <t>DMDE - Psikososyal Destek-İNTİHAR</t>
  </si>
  <si>
    <t>DMDE - Psikososyal Destek-TERÖR</t>
  </si>
  <si>
    <t>DMDE - Psikososyal Destek-YAS</t>
  </si>
  <si>
    <t>DMDE - Sağlıklı Yaşam</t>
  </si>
  <si>
    <t>DMDE - Stres Yönetimi</t>
  </si>
  <si>
    <t>DMDE - Teknoloji Bağımlılığını Önleme</t>
  </si>
  <si>
    <t>DMDE - Tütün Bağımlılığını Önleme</t>
  </si>
  <si>
    <t>DP - Araştırma Çalışmaları</t>
  </si>
  <si>
    <t>DP - BEP Dosyalarının Düzenlenmesi ve Güncellenmesi</t>
  </si>
  <si>
    <t>DP - BİLSEM Danışman Öğretmen Belirlenmesi</t>
  </si>
  <si>
    <t>DP - Okul Risk Haritasının Oluşturulması</t>
  </si>
  <si>
    <t>DP - Okul/Kurum RPD Programının  Hazırlanması</t>
  </si>
  <si>
    <t>DP - Proje Çalışmaları</t>
  </si>
  <si>
    <t>DP - RAM Bölge Risk Haritasının Oluşturulması</t>
  </si>
  <si>
    <t>DP - RAM RİBA-Bölge Sonuç Çizelgesinin Oluşturulması</t>
  </si>
  <si>
    <t>DP - RAM RPD Hizmetleri Bölümü Toplantıları</t>
  </si>
  <si>
    <t>DP - RAM RPD Hizmetleri Bölümü Yıllık Çalışma Planı Hazırlama</t>
  </si>
  <si>
    <t>DP - Rehberlik ve Psikolojik Danışma  Servisinin İhtiyaçlarının Belirlenmesi</t>
  </si>
  <si>
    <t>DP - Rehberlik ve Psikolojik Danışma Servisi Desimali Oluşturulması</t>
  </si>
  <si>
    <t>DP - RPD Hizmetleri Yürütme Komisyonu Tarafından RPD İhtiyaç Analizi Çalışmalarının Yapılması</t>
  </si>
  <si>
    <t>DP - RPD Hizmetleri Yürütme Komisyonu Toplantısının Yapılması</t>
  </si>
  <si>
    <t>DP - RPD Hizmetleri Yürütme Komisyonunun Oluşturulması</t>
  </si>
  <si>
    <t>DİT - BEP Geliştirme Birimi Toplantıları</t>
  </si>
  <si>
    <t>DİT - Değerler Eğitimi Komisyonu Toplantıları</t>
  </si>
  <si>
    <t>DİT - Destek Eğitim Odası Toplantısı</t>
  </si>
  <si>
    <t>DİT - Diğer Kurum/Kuruluş Toplantıları</t>
  </si>
  <si>
    <t>DİT - İL RPD Hizmetleri Yürütme Komisyonu Toplantıları</t>
  </si>
  <si>
    <t>DİT - Okul Aile Birliği Toplantıları</t>
  </si>
  <si>
    <t>DİT - Okul Psikososyal Destek Hizmetleri Toplantıları</t>
  </si>
  <si>
    <t>DİT - RAM Mesleki Paylaşım Toplantıları</t>
  </si>
  <si>
    <t>DİT - RAM Psikososyal Destek Hizmetleri Toplantıları</t>
  </si>
  <si>
    <t>DİT - RAM Sene Başı/Sonu Toplantıları</t>
  </si>
  <si>
    <t>DİT - Sınıf Başarı Değerlendirme Toplantıları</t>
  </si>
  <si>
    <t>DİT - Şube Öğretmenler Kurulu Toplantıları</t>
  </si>
  <si>
    <t>DİT - Veli Toplantıları</t>
  </si>
  <si>
    <t>DİF - Aile Katılımı Çalışmaları</t>
  </si>
  <si>
    <t>DİF - Belirli Gün ve Haftalar İle İlgili Çalışmalar</t>
  </si>
  <si>
    <t>DİF - Değerler Eğitimi Çalışmaları</t>
  </si>
  <si>
    <t>DİF - Eğitim Kurumunun Tanıtımı</t>
  </si>
  <si>
    <t>DİF - Mezuniyet</t>
  </si>
  <si>
    <t>DİF - Sağlık Tarama Çalışmaları</t>
  </si>
  <si>
    <t>DİF - YEŞİLAY Kulubüyle İş birliği</t>
  </si>
  <si>
    <t>DG - Bilimsel Kongreye Katılma</t>
  </si>
  <si>
    <t>DG - Bilimsel Seminer, Konferansa Katılma</t>
  </si>
  <si>
    <t>DG - Danışman Öğretmenlik (Staj Uygulamaları)</t>
  </si>
  <si>
    <t>DG - Hizmetiçi Eğitim Verme</t>
  </si>
  <si>
    <t>DG - Hizmetiçi Eğitime Katılma</t>
  </si>
  <si>
    <t>DG - Seminer, Konferans vb. Düzenleme</t>
  </si>
  <si>
    <t>DG - Yardım Edene Yardım (Destek Grupları)</t>
  </si>
  <si>
    <t>DG - Yüksek Lisans Doktora Dersine Katılma</t>
  </si>
  <si>
    <t>Çocuk Hakları ve Çocuk Kıymeti</t>
  </si>
  <si>
    <t>Meslek Seçerken Dikkat Edilmesi Gerekenler</t>
  </si>
  <si>
    <t>Bağımlı</t>
  </si>
  <si>
    <t>Gelişim</t>
  </si>
  <si>
    <t>ÖOV*</t>
  </si>
  <si>
    <t>DMD*</t>
  </si>
  <si>
    <t>Kadına Yönelik Şiddetin Önlenmesi</t>
  </si>
  <si>
    <t>Bağımlılıkla Mücadele kapsamında planlanan çalışma durumu</t>
  </si>
  <si>
    <t>Kadına Yönelik Şiddetin Önlenmesi kapsamında planlanan çalışma durumu</t>
  </si>
  <si>
    <t>Alınmasın</t>
  </si>
  <si>
    <t>Verimli Ders Çalışma</t>
  </si>
  <si>
    <t>Atılganlık Becerileri</t>
  </si>
  <si>
    <t>Okul Başarısını Arttırma</t>
  </si>
  <si>
    <t>İhmal ve İstismardan Korunma</t>
  </si>
  <si>
    <t>Yerel Hedef İçerikleri</t>
  </si>
  <si>
    <t>Dikkat Geliştirme</t>
  </si>
  <si>
    <t>İhmal ve İstismar Farkındalığı</t>
  </si>
  <si>
    <t>HEDEF</t>
  </si>
  <si>
    <t>HEDEF DIŞI -</t>
  </si>
  <si>
    <t>YEREL HEDEF - Akran Zorbalığı</t>
  </si>
  <si>
    <t>ÖZEL HEDEF - Karar Verme Becerisi</t>
  </si>
  <si>
    <t>GENEL HEDEF - Aile İçi İletişim-Çocuk Hakları ve Çocuk Kıymeti</t>
  </si>
  <si>
    <t>ÖZEL HEDEF - Otokontrol</t>
  </si>
  <si>
    <t xml:space="preserve">5 / A </t>
  </si>
  <si>
    <t xml:space="preserve">5 / B </t>
  </si>
  <si>
    <t xml:space="preserve">5 / C </t>
  </si>
  <si>
    <t xml:space="preserve">5 / D </t>
  </si>
  <si>
    <t xml:space="preserve">5 / E </t>
  </si>
  <si>
    <t xml:space="preserve">5 / G </t>
  </si>
  <si>
    <t xml:space="preserve">5-Otistik Hafif / A </t>
  </si>
  <si>
    <t xml:space="preserve">6 / A </t>
  </si>
  <si>
    <t xml:space="preserve">6 / B </t>
  </si>
  <si>
    <t xml:space="preserve">6 / C </t>
  </si>
  <si>
    <t xml:space="preserve">6 / D </t>
  </si>
  <si>
    <t xml:space="preserve">6 / E </t>
  </si>
  <si>
    <t xml:space="preserve">6-Otistik Hafif / A </t>
  </si>
  <si>
    <t xml:space="preserve">7 / A </t>
  </si>
  <si>
    <t xml:space="preserve">7 / B </t>
  </si>
  <si>
    <t xml:space="preserve">7 / C </t>
  </si>
  <si>
    <t xml:space="preserve">7 / D </t>
  </si>
  <si>
    <t xml:space="preserve">7 / E </t>
  </si>
  <si>
    <t xml:space="preserve">7 / K </t>
  </si>
  <si>
    <t xml:space="preserve">7 / L </t>
  </si>
  <si>
    <t xml:space="preserve">7 / İ </t>
  </si>
  <si>
    <t xml:space="preserve">8 / A </t>
  </si>
  <si>
    <t xml:space="preserve">8 / B </t>
  </si>
  <si>
    <t xml:space="preserve">8 / C </t>
  </si>
  <si>
    <t xml:space="preserve">8 / D </t>
  </si>
  <si>
    <t xml:space="preserve">8 / E </t>
  </si>
  <si>
    <t xml:space="preserve">8 / F </t>
  </si>
  <si>
    <t xml:space="preserve">8 / G </t>
  </si>
  <si>
    <t xml:space="preserve">8 / L </t>
  </si>
  <si>
    <t xml:space="preserve">8 / İ </t>
  </si>
  <si>
    <t xml:space="preserve">Ana Sınıfı / A </t>
  </si>
  <si>
    <t xml:space="preserve">Ana Sınıfı / B </t>
  </si>
  <si>
    <t xml:space="preserve">Ana Sınıfı / C </t>
  </si>
  <si>
    <t xml:space="preserve">Ana Sınıfı / D </t>
  </si>
  <si>
    <t>Ana Sınıfı /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</si>
</sst>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name val="Calibri"/>
    </font>
    <font>
      <sz val="11"/>
      <name val="Calibri"/>
      <family val="2"/>
      <charset val="162"/>
    </font>
    <font>
      <sz val="12"/>
      <name val="Calibri"/>
      <family val="2"/>
      <charset val="162"/>
    </font>
    <font>
      <b/>
      <sz val="12"/>
      <name val="Calibri"/>
      <family val="2"/>
      <charset val="162"/>
    </font>
    <font>
      <b/>
      <sz val="11"/>
      <name val="Calibri"/>
      <family val="2"/>
      <charset val="162"/>
    </font>
    <font>
      <sz val="10"/>
      <color rgb="FF000000"/>
      <name val="Times New Roman"/>
      <family val="1"/>
      <charset val="162"/>
    </font>
    <font>
      <sz val="12"/>
      <color rgb="FF000000"/>
      <name val="Times New Roman"/>
      <family val="1"/>
      <charset val="162"/>
    </font>
    <font>
      <i/>
      <sz val="12"/>
      <color rgb="FF000000"/>
      <name val="Times New Roman"/>
      <family val="1"/>
      <charset val="162"/>
    </font>
    <font>
      <sz val="8"/>
      <name val="Calibri"/>
      <family val="2"/>
      <charset val="162"/>
    </font>
    <font>
      <sz val="9"/>
      <color rgb="FF000000"/>
      <name val="Times New Roman"/>
      <family val="1"/>
      <charset val="162"/>
    </font>
    <font>
      <sz val="10"/>
      <color rgb="FF000000"/>
      <name val="Times New Roman"/>
      <family val="1"/>
      <charset val="162"/>
    </font>
    <font>
      <sz val="11"/>
      <color theme="0" tint="-4.9989318521683403E-2"/>
      <name val="Calibri"/>
      <family val="2"/>
      <charset val="162"/>
    </font>
    <font>
      <b/>
      <sz val="11"/>
      <color theme="0" tint="-4.9989318521683403E-2"/>
      <name val="Calibri"/>
      <family val="2"/>
      <charset val="162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/>
    <xf numFmtId="0" fontId="1" fillId="0" borderId="0"/>
  </cellStyleXfs>
  <cellXfs count="63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4" fillId="0" borderId="1" xfId="0" applyFont="1" applyBorder="1"/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1" xfId="0" applyBorder="1"/>
    <xf numFmtId="0" fontId="4" fillId="8" borderId="1" xfId="0" applyFont="1" applyFill="1" applyBorder="1"/>
    <xf numFmtId="0" fontId="4" fillId="0" borderId="1" xfId="0" applyFont="1" applyBorder="1" applyAlignment="1">
      <alignment vertical="center"/>
    </xf>
    <xf numFmtId="0" fontId="0" fillId="3" borderId="1" xfId="0" applyFill="1" applyBorder="1" applyAlignment="1">
      <alignment vertical="center"/>
    </xf>
    <xf numFmtId="0" fontId="1" fillId="3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1" xfId="0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" xfId="1" applyFont="1" applyBorder="1" applyAlignment="1" applyProtection="1">
      <alignment horizontal="center" vertical="center"/>
      <protection hidden="1"/>
    </xf>
    <xf numFmtId="0" fontId="9" fillId="0" borderId="1" xfId="1" applyFont="1" applyBorder="1" applyAlignment="1" applyProtection="1">
      <alignment horizontal="center" vertical="center" wrapText="1"/>
      <protection hidden="1"/>
    </xf>
    <xf numFmtId="0" fontId="6" fillId="7" borderId="1" xfId="1" applyFont="1" applyFill="1" applyBorder="1" applyAlignment="1" applyProtection="1">
      <alignment horizontal="center" vertical="center"/>
      <protection hidden="1"/>
    </xf>
    <xf numFmtId="0" fontId="9" fillId="7" borderId="1" xfId="1" applyFont="1" applyFill="1" applyBorder="1" applyAlignment="1" applyProtection="1">
      <alignment horizontal="center" vertical="center" wrapText="1"/>
      <protection hidden="1"/>
    </xf>
    <xf numFmtId="0" fontId="5" fillId="0" borderId="0" xfId="1" applyAlignment="1" applyProtection="1">
      <alignment horizontal="left" vertical="center"/>
      <protection hidden="1"/>
    </xf>
    <xf numFmtId="0" fontId="6" fillId="6" borderId="1" xfId="1" applyFont="1" applyFill="1" applyBorder="1" applyAlignment="1" applyProtection="1">
      <alignment horizontal="center" vertical="center" wrapText="1"/>
      <protection hidden="1"/>
    </xf>
    <xf numFmtId="0" fontId="5" fillId="0" borderId="0" xfId="1" applyAlignment="1" applyProtection="1">
      <alignment horizontal="center" vertical="center"/>
      <protection hidden="1"/>
    </xf>
    <xf numFmtId="0" fontId="6" fillId="7" borderId="1" xfId="1" applyFont="1" applyFill="1" applyBorder="1" applyAlignment="1" applyProtection="1">
      <alignment horizontal="center" vertical="center" wrapText="1"/>
      <protection hidden="1"/>
    </xf>
    <xf numFmtId="0" fontId="5" fillId="0" borderId="0" xfId="1" applyAlignment="1" applyProtection="1">
      <alignment horizontal="left" vertical="center" wrapText="1"/>
      <protection hidden="1"/>
    </xf>
    <xf numFmtId="0" fontId="10" fillId="0" borderId="0" xfId="1" applyFont="1" applyAlignment="1" applyProtection="1">
      <alignment horizontal="left" vertical="center"/>
      <protection hidden="1"/>
    </xf>
    <xf numFmtId="0" fontId="11" fillId="5" borderId="0" xfId="0" applyFont="1" applyFill="1"/>
    <xf numFmtId="0" fontId="0" fillId="0" borderId="1" xfId="0" applyBorder="1" applyAlignment="1">
      <alignment vertical="center"/>
    </xf>
    <xf numFmtId="0" fontId="11" fillId="5" borderId="0" xfId="0" applyFont="1" applyFill="1" applyAlignment="1">
      <alignment horizontal="center"/>
    </xf>
    <xf numFmtId="0" fontId="12" fillId="5" borderId="0" xfId="0" applyFont="1" applyFill="1"/>
    <xf numFmtId="1" fontId="11" fillId="5" borderId="0" xfId="0" applyNumberFormat="1" applyFont="1" applyFill="1"/>
    <xf numFmtId="14" fontId="11" fillId="5" borderId="0" xfId="0" applyNumberFormat="1" applyFont="1" applyFill="1"/>
    <xf numFmtId="0" fontId="6" fillId="6" borderId="1" xfId="1" applyFont="1" applyFill="1" applyBorder="1" applyAlignment="1" applyProtection="1">
      <alignment horizontal="center" vertical="center"/>
      <protection hidden="1"/>
    </xf>
    <xf numFmtId="0" fontId="6" fillId="0" borderId="1" xfId="1" applyFont="1" applyBorder="1" applyAlignment="1" applyProtection="1">
      <alignment horizontal="left" vertical="center" wrapText="1"/>
      <protection hidden="1"/>
    </xf>
    <xf numFmtId="0" fontId="6" fillId="7" borderId="1" xfId="1" applyFont="1" applyFill="1" applyBorder="1" applyAlignment="1" applyProtection="1">
      <alignment horizontal="left" vertical="center" wrapText="1"/>
      <protection hidden="1"/>
    </xf>
    <xf numFmtId="0" fontId="6" fillId="5" borderId="1" xfId="1" applyFont="1" applyFill="1" applyBorder="1" applyAlignment="1" applyProtection="1">
      <alignment horizontal="center" vertical="center" wrapText="1"/>
      <protection hidden="1"/>
    </xf>
    <xf numFmtId="0" fontId="6" fillId="6" borderId="1" xfId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textRotation="90"/>
    </xf>
    <xf numFmtId="0" fontId="4" fillId="2" borderId="1" xfId="0" applyFont="1" applyFill="1" applyBorder="1" applyAlignment="1">
      <alignment horizontal="center" vertical="center" textRotation="90"/>
    </xf>
    <xf numFmtId="0" fontId="4" fillId="4" borderId="1" xfId="0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lanAktar&#305;lacakSayf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104775</xdr:colOff>
      <xdr:row>0</xdr:row>
      <xdr:rowOff>95250</xdr:rowOff>
    </xdr:from>
    <xdr:to>
      <xdr:col>16</xdr:col>
      <xdr:colOff>186375</xdr:colOff>
      <xdr:row>1</xdr:row>
      <xdr:rowOff>45675</xdr:rowOff>
    </xdr:to>
    <xdr:sp macro="[0]!soru" textlink="">
      <xdr:nvSpPr>
        <xdr:cNvPr id="11" name="Dikdörtgen: Köşeleri Yuvarlatılmış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76225" y="95250"/>
          <a:ext cx="2520000" cy="360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Programı</a:t>
          </a:r>
          <a:r>
            <a:rPr lang="tr-TR" sz="1100" baseline="0"/>
            <a:t> Değerlendirmek İçin Tıklayın</a:t>
          </a:r>
          <a:endParaRPr lang="tr-TR" sz="1100"/>
        </a:p>
      </xdr:txBody>
    </xdr:sp>
    <xdr:clientData/>
  </xdr:twoCellAnchor>
  <xdr:twoCellAnchor>
    <xdr:from>
      <xdr:col>16</xdr:col>
      <xdr:colOff>523874</xdr:colOff>
      <xdr:row>0</xdr:row>
      <xdr:rowOff>104776</xdr:rowOff>
    </xdr:from>
    <xdr:to>
      <xdr:col>20</xdr:col>
      <xdr:colOff>605474</xdr:colOff>
      <xdr:row>1</xdr:row>
      <xdr:rowOff>55201</xdr:rowOff>
    </xdr:to>
    <xdr:sp macro="[0]!VeriGir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33724" y="104776"/>
          <a:ext cx="2520000" cy="36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Veri Girişi</a:t>
          </a:r>
        </a:p>
      </xdr:txBody>
    </xdr:sp>
    <xdr:clientData/>
  </xdr:twoCellAnchor>
  <xdr:twoCellAnchor editAs="oneCell">
    <xdr:from>
      <xdr:col>10</xdr:col>
      <xdr:colOff>66674</xdr:colOff>
      <xdr:row>2</xdr:row>
      <xdr:rowOff>9525</xdr:rowOff>
    </xdr:from>
    <xdr:to>
      <xdr:col>25</xdr:col>
      <xdr:colOff>490372</xdr:colOff>
      <xdr:row>28</xdr:row>
      <xdr:rowOff>180975</xdr:rowOff>
    </xdr:to>
    <xdr:pic>
      <xdr:nvPicPr>
        <xdr:cNvPr id="5" name="Resim 4">
          <a:extLst>
            <a:ext uri="{FF2B5EF4-FFF2-40B4-BE49-F238E27FC236}">
              <a16:creationId xmlns:a16="http://schemas.microsoft.com/office/drawing/2014/main" id="{F2E15772-152D-341E-A7FC-5C0AA8C905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95" b="12745"/>
        <a:stretch/>
      </xdr:blipFill>
      <xdr:spPr>
        <a:xfrm>
          <a:off x="161924" y="609600"/>
          <a:ext cx="9481973" cy="5124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171449</xdr:colOff>
      <xdr:row>0</xdr:row>
      <xdr:rowOff>66675</xdr:rowOff>
    </xdr:from>
    <xdr:to>
      <xdr:col>16</xdr:col>
      <xdr:colOff>178649</xdr:colOff>
      <xdr:row>1</xdr:row>
      <xdr:rowOff>192750</xdr:rowOff>
    </xdr:to>
    <xdr:sp macro="" textlink="">
      <xdr:nvSpPr>
        <xdr:cNvPr id="2" name="Yuvarlatılmış Dikdört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2487274" y="66675"/>
          <a:ext cx="1836000" cy="288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Yeni Değerlendirmeye Geç</a:t>
          </a:r>
        </a:p>
      </xdr:txBody>
    </xdr:sp>
    <xdr:clientData/>
  </xdr:twoCellAnchor>
  <xdr:twoCellAnchor>
    <xdr:from>
      <xdr:col>13</xdr:col>
      <xdr:colOff>200025</xdr:colOff>
      <xdr:row>2</xdr:row>
      <xdr:rowOff>304800</xdr:rowOff>
    </xdr:from>
    <xdr:to>
      <xdr:col>16</xdr:col>
      <xdr:colOff>207225</xdr:colOff>
      <xdr:row>2</xdr:row>
      <xdr:rowOff>592800</xdr:rowOff>
    </xdr:to>
    <xdr:sp macro="[0]!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515850" y="819150"/>
          <a:ext cx="1836000" cy="288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Masaüstüne Kaydet</a:t>
          </a:r>
        </a:p>
      </xdr:txBody>
    </xdr:sp>
    <xdr:clientData/>
  </xdr:twoCellAnchor>
  <xdr:twoCellAnchor>
    <xdr:from>
      <xdr:col>13</xdr:col>
      <xdr:colOff>190500</xdr:colOff>
      <xdr:row>1</xdr:row>
      <xdr:rowOff>276225</xdr:rowOff>
    </xdr:from>
    <xdr:to>
      <xdr:col>16</xdr:col>
      <xdr:colOff>197700</xdr:colOff>
      <xdr:row>2</xdr:row>
      <xdr:rowOff>211800</xdr:rowOff>
    </xdr:to>
    <xdr:sp macro="[0]!yazdir" textlink="">
      <xdr:nvSpPr>
        <xdr:cNvPr id="4" name="Yuvarlatılmış Dikdört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096750" y="438150"/>
          <a:ext cx="1836000" cy="288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100"/>
            <a:t>Yazdır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123825</xdr:rowOff>
    </xdr:from>
    <xdr:to>
      <xdr:col>0</xdr:col>
      <xdr:colOff>1447800</xdr:colOff>
      <xdr:row>2</xdr:row>
      <xdr:rowOff>95250</xdr:rowOff>
    </xdr:to>
    <xdr:sp macro="[0]!HedefleriBul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3375" y="123825"/>
          <a:ext cx="1114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285750</xdr:colOff>
      <xdr:row>1</xdr:row>
      <xdr:rowOff>19050</xdr:rowOff>
    </xdr:from>
    <xdr:to>
      <xdr:col>34</xdr:col>
      <xdr:colOff>19050</xdr:colOff>
      <xdr:row>2</xdr:row>
      <xdr:rowOff>171450</xdr:rowOff>
    </xdr:to>
    <xdr:sp macro="[0]!SınıfBul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3004125" y="209550"/>
          <a:ext cx="952500" cy="342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lo2" displayName="Tablo2" ref="A1:C4" totalsRowShown="0" headerRowDxfId="13" headerRowBorderDxfId="12" tableBorderDxfId="11" totalsRowBorderDxfId="10">
  <autoFilter ref="A1:C4"/>
  <tableColumns count="3">
    <tableColumn id="1" name="Hedef Türü" dataDxfId="9"/>
    <tableColumn id="2" name="1. Hedef" dataDxfId="8"/>
    <tableColumn id="3" name="2. Hedef" dataDxfId="7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id="1" name="Tablo22" displayName="Tablo22" ref="A9:C12" totalsRowShown="0" headerRowDxfId="6" headerRowBorderDxfId="5" tableBorderDxfId="4" totalsRowBorderDxfId="3">
  <autoFilter ref="A9:C12"/>
  <tableColumns count="3">
    <tableColumn id="1" name="Hedef Türü" dataDxfId="2"/>
    <tableColumn id="2" name="1. Hedef" dataDxfId="1">
      <calculatedColumnFormula>IFERROR(UPPER(Tablo22[[#This Row],[Hedef Türü]])&amp;UPPER(Tablo22[[#This Row],[Hedef Türü]])&amp;" - "&amp;VLOOKUP(RIGHT(B2,LEN(B2)-SEARCH("-",B2)-1),'Hedef Listesi'!$C:$C,1,FALSE),"Hedef Girişi Yapılmamış")</calculatedColumnFormula>
    </tableColumn>
    <tableColumn id="3" name="2. Hedef" dataDxfId="0">
      <calculatedColumnFormula>IFERROR(UPPER(Tablo22[[#This Row],[Hedef Türü]])&amp;UPPER(Tablo22[[#This Row],[Hedef Türü]])&amp;" - "&amp;VLOOKUP(RIGHT(C2,LEN(C2)-SEARCH("-",C2)-1),'Hedef Listesi'!C:C,1,FALSE),"Hedef Girişi Yapılmamış")</calculatedColumnFormula>
    </tableColumn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J66"/>
  <sheetViews>
    <sheetView tabSelected="1" workbookViewId="0">
      <pane ySplit="2" topLeftCell="A3" activePane="bottomLeft" state="frozen"/>
      <selection pane="bottomLeft" sqref="A1:K1048576"/>
    </sheetView>
  </sheetViews>
  <sheetFormatPr defaultRowHeight="15" x14ac:dyDescent="0.25"/>
  <cols>
    <col min="1" max="10" width="0.140625" style="44" customWidth="1"/>
    <col min="11" max="11" width="4.42578125" style="44" customWidth="1"/>
    <col min="12" max="13" width="10.85546875" style="44" customWidth="1"/>
    <col min="14" max="16384" width="9.140625" style="44"/>
  </cols>
  <sheetData>
    <row r="1" spans="1:10" ht="32.25" customHeight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</row>
    <row r="2" spans="1:10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</row>
    <row r="3" spans="1:10" x14ac:dyDescent="0.25">
      <c r="B3" s="48"/>
      <c r="E3" s="49"/>
      <c r="F3" s="49"/>
      <c r="J3" s="48"/>
    </row>
    <row r="4" spans="1:10" x14ac:dyDescent="0.25">
      <c r="B4" s="48"/>
      <c r="E4" s="49"/>
      <c r="F4" s="49"/>
      <c r="J4" s="48"/>
    </row>
    <row r="5" spans="1:10" x14ac:dyDescent="0.25">
      <c r="B5" s="48"/>
      <c r="E5" s="49"/>
      <c r="F5" s="49"/>
      <c r="J5" s="48"/>
    </row>
    <row r="6" spans="1:10" x14ac:dyDescent="0.25">
      <c r="B6" s="48"/>
      <c r="E6" s="49"/>
      <c r="F6" s="49"/>
      <c r="J6" s="48"/>
    </row>
    <row r="7" spans="1:10" x14ac:dyDescent="0.25">
      <c r="B7" s="48"/>
      <c r="E7" s="49"/>
      <c r="F7" s="49"/>
      <c r="J7" s="48"/>
    </row>
    <row r="8" spans="1:10" x14ac:dyDescent="0.25">
      <c r="B8" s="48"/>
      <c r="E8" s="49"/>
      <c r="F8" s="49"/>
      <c r="J8" s="48"/>
    </row>
    <row r="9" spans="1:10" x14ac:dyDescent="0.25">
      <c r="B9" s="48"/>
      <c r="E9" s="49"/>
      <c r="F9" s="49"/>
      <c r="J9" s="48"/>
    </row>
    <row r="10" spans="1:10" x14ac:dyDescent="0.25">
      <c r="B10" s="48"/>
      <c r="E10" s="49"/>
      <c r="F10" s="49"/>
      <c r="J10" s="48"/>
    </row>
    <row r="11" spans="1:10" x14ac:dyDescent="0.25">
      <c r="B11" s="48"/>
      <c r="E11" s="49"/>
      <c r="F11" s="49"/>
      <c r="J11" s="48"/>
    </row>
    <row r="12" spans="1:10" x14ac:dyDescent="0.25">
      <c r="B12" s="48"/>
      <c r="E12" s="49"/>
      <c r="F12" s="49"/>
      <c r="J12" s="48"/>
    </row>
    <row r="13" spans="1:10" x14ac:dyDescent="0.25">
      <c r="B13" s="48"/>
      <c r="E13" s="49"/>
      <c r="F13" s="49"/>
      <c r="J13" s="48"/>
    </row>
    <row r="14" spans="1:10" x14ac:dyDescent="0.25">
      <c r="B14" s="48"/>
      <c r="E14" s="49"/>
      <c r="F14" s="49"/>
      <c r="J14" s="48"/>
    </row>
    <row r="15" spans="1:10" x14ac:dyDescent="0.25">
      <c r="B15" s="48"/>
      <c r="E15" s="49"/>
      <c r="F15" s="49"/>
      <c r="J15" s="48"/>
    </row>
    <row r="16" spans="1:10" x14ac:dyDescent="0.25">
      <c r="B16" s="48"/>
      <c r="E16" s="49"/>
      <c r="F16" s="49"/>
      <c r="J16" s="48"/>
    </row>
    <row r="17" spans="2:10" x14ac:dyDescent="0.25">
      <c r="B17" s="48"/>
      <c r="E17" s="49"/>
      <c r="F17" s="49"/>
      <c r="J17" s="48"/>
    </row>
    <row r="18" spans="2:10" x14ac:dyDescent="0.25">
      <c r="B18" s="48"/>
      <c r="E18" s="49"/>
      <c r="F18" s="49"/>
      <c r="J18" s="48"/>
    </row>
    <row r="19" spans="2:10" x14ac:dyDescent="0.25">
      <c r="B19" s="48"/>
      <c r="E19" s="49"/>
      <c r="F19" s="49"/>
      <c r="J19" s="48"/>
    </row>
    <row r="20" spans="2:10" x14ac:dyDescent="0.25">
      <c r="B20" s="48"/>
      <c r="E20" s="49"/>
      <c r="F20" s="49"/>
      <c r="J20" s="48"/>
    </row>
    <row r="21" spans="2:10" x14ac:dyDescent="0.25">
      <c r="B21" s="48"/>
      <c r="E21" s="49"/>
      <c r="F21" s="49"/>
      <c r="J21" s="48"/>
    </row>
    <row r="22" spans="2:10" x14ac:dyDescent="0.25">
      <c r="B22" s="48"/>
      <c r="E22" s="49"/>
      <c r="F22" s="49"/>
      <c r="J22" s="48"/>
    </row>
    <row r="23" spans="2:10" x14ac:dyDescent="0.25">
      <c r="B23" s="48"/>
      <c r="E23" s="49"/>
      <c r="F23" s="49"/>
      <c r="J23" s="48"/>
    </row>
    <row r="24" spans="2:10" x14ac:dyDescent="0.25">
      <c r="B24" s="48"/>
      <c r="E24" s="49"/>
      <c r="F24" s="49"/>
      <c r="J24" s="48"/>
    </row>
    <row r="25" spans="2:10" x14ac:dyDescent="0.25">
      <c r="B25" s="48"/>
      <c r="E25" s="49"/>
      <c r="F25" s="49"/>
      <c r="J25" s="48"/>
    </row>
    <row r="26" spans="2:10" x14ac:dyDescent="0.25">
      <c r="B26" s="48"/>
      <c r="E26" s="49"/>
      <c r="F26" s="49"/>
      <c r="J26" s="48"/>
    </row>
    <row r="27" spans="2:10" x14ac:dyDescent="0.25">
      <c r="B27" s="48"/>
      <c r="E27" s="49"/>
      <c r="F27" s="49"/>
      <c r="J27" s="48"/>
    </row>
    <row r="28" spans="2:10" x14ac:dyDescent="0.25">
      <c r="B28" s="48"/>
      <c r="E28" s="49"/>
      <c r="F28" s="49"/>
      <c r="J28" s="48"/>
    </row>
    <row r="29" spans="2:10" x14ac:dyDescent="0.25">
      <c r="B29" s="48"/>
      <c r="E29" s="49"/>
      <c r="F29" s="49"/>
      <c r="J29" s="48"/>
    </row>
    <row r="30" spans="2:10" x14ac:dyDescent="0.25">
      <c r="B30" s="48"/>
      <c r="E30" s="49"/>
      <c r="F30" s="49"/>
      <c r="J30" s="48"/>
    </row>
    <row r="31" spans="2:10" x14ac:dyDescent="0.25">
      <c r="B31" s="48"/>
      <c r="E31" s="49"/>
      <c r="F31" s="49"/>
      <c r="J31" s="48"/>
    </row>
    <row r="32" spans="2:10" x14ac:dyDescent="0.25">
      <c r="B32" s="48"/>
      <c r="E32" s="49"/>
      <c r="F32" s="49"/>
      <c r="J32" s="48"/>
    </row>
    <row r="33" spans="2:10" x14ac:dyDescent="0.25">
      <c r="B33" s="48"/>
      <c r="E33" s="49"/>
      <c r="F33" s="49"/>
      <c r="J33" s="48"/>
    </row>
    <row r="34" spans="2:10" x14ac:dyDescent="0.25">
      <c r="B34" s="48"/>
      <c r="E34" s="49"/>
      <c r="F34" s="49"/>
      <c r="J34" s="48"/>
    </row>
    <row r="35" spans="2:10" x14ac:dyDescent="0.25">
      <c r="B35" s="48"/>
      <c r="E35" s="49"/>
      <c r="F35" s="49"/>
      <c r="J35" s="48"/>
    </row>
    <row r="36" spans="2:10" x14ac:dyDescent="0.25">
      <c r="B36" s="48"/>
      <c r="E36" s="49"/>
      <c r="F36" s="49"/>
      <c r="J36" s="48"/>
    </row>
    <row r="37" spans="2:10" x14ac:dyDescent="0.25">
      <c r="B37" s="48"/>
      <c r="E37" s="49"/>
      <c r="F37" s="49"/>
      <c r="J37" s="48"/>
    </row>
    <row r="38" spans="2:10" x14ac:dyDescent="0.25">
      <c r="B38" s="48"/>
      <c r="E38" s="49"/>
      <c r="F38" s="49"/>
      <c r="J38" s="48"/>
    </row>
    <row r="39" spans="2:10" x14ac:dyDescent="0.25">
      <c r="B39" s="48"/>
      <c r="E39" s="49"/>
      <c r="F39" s="49"/>
      <c r="J39" s="48"/>
    </row>
    <row r="40" spans="2:10" x14ac:dyDescent="0.25">
      <c r="B40" s="48"/>
      <c r="E40" s="49"/>
      <c r="F40" s="49"/>
      <c r="J40" s="48"/>
    </row>
    <row r="41" spans="2:10" x14ac:dyDescent="0.25">
      <c r="B41" s="48"/>
      <c r="E41" s="49"/>
      <c r="F41" s="49"/>
      <c r="J41" s="48"/>
    </row>
    <row r="42" spans="2:10" x14ac:dyDescent="0.25">
      <c r="B42" s="48"/>
      <c r="E42" s="49"/>
      <c r="F42" s="49"/>
      <c r="J42" s="48"/>
    </row>
    <row r="43" spans="2:10" x14ac:dyDescent="0.25">
      <c r="B43" s="48"/>
      <c r="E43" s="49"/>
      <c r="F43" s="49"/>
      <c r="J43" s="48"/>
    </row>
    <row r="44" spans="2:10" x14ac:dyDescent="0.25">
      <c r="B44" s="48"/>
      <c r="E44" s="49"/>
      <c r="F44" s="49"/>
      <c r="J44" s="48"/>
    </row>
    <row r="45" spans="2:10" x14ac:dyDescent="0.25">
      <c r="B45" s="48"/>
      <c r="E45" s="49"/>
      <c r="F45" s="49"/>
      <c r="J45" s="48"/>
    </row>
    <row r="46" spans="2:10" x14ac:dyDescent="0.25">
      <c r="B46" s="48"/>
      <c r="E46" s="49"/>
      <c r="F46" s="49"/>
      <c r="J46" s="48"/>
    </row>
    <row r="47" spans="2:10" x14ac:dyDescent="0.25">
      <c r="B47" s="48"/>
      <c r="E47" s="49"/>
      <c r="F47" s="49"/>
      <c r="J47" s="48"/>
    </row>
    <row r="48" spans="2:10" x14ac:dyDescent="0.25">
      <c r="B48" s="48"/>
      <c r="E48" s="49"/>
      <c r="F48" s="49"/>
      <c r="J48" s="48"/>
    </row>
    <row r="49" spans="2:10" x14ac:dyDescent="0.25">
      <c r="B49" s="48"/>
      <c r="E49" s="49"/>
      <c r="F49" s="49"/>
      <c r="J49" s="48"/>
    </row>
    <row r="50" spans="2:10" x14ac:dyDescent="0.25">
      <c r="B50" s="48"/>
      <c r="E50" s="49"/>
      <c r="F50" s="49"/>
      <c r="J50" s="48"/>
    </row>
    <row r="51" spans="2:10" x14ac:dyDescent="0.25">
      <c r="B51" s="48"/>
      <c r="E51" s="49"/>
      <c r="F51" s="49"/>
      <c r="J51" s="48"/>
    </row>
    <row r="52" spans="2:10" x14ac:dyDescent="0.25">
      <c r="B52" s="48"/>
      <c r="E52" s="49"/>
      <c r="F52" s="49"/>
      <c r="J52" s="48"/>
    </row>
    <row r="53" spans="2:10" x14ac:dyDescent="0.25">
      <c r="B53" s="48"/>
      <c r="E53" s="49"/>
      <c r="F53" s="49"/>
      <c r="J53" s="48"/>
    </row>
    <row r="54" spans="2:10" x14ac:dyDescent="0.25">
      <c r="B54" s="48"/>
      <c r="E54" s="49"/>
      <c r="F54" s="49"/>
      <c r="J54" s="48"/>
    </row>
    <row r="55" spans="2:10" x14ac:dyDescent="0.25">
      <c r="B55" s="48"/>
      <c r="E55" s="49"/>
      <c r="F55" s="49"/>
      <c r="J55" s="48"/>
    </row>
    <row r="56" spans="2:10" x14ac:dyDescent="0.25">
      <c r="B56" s="48"/>
      <c r="E56" s="49"/>
      <c r="F56" s="49"/>
      <c r="J56" s="48"/>
    </row>
    <row r="57" spans="2:10" x14ac:dyDescent="0.25">
      <c r="B57" s="48"/>
      <c r="E57" s="49"/>
      <c r="F57" s="49"/>
      <c r="J57" s="48"/>
    </row>
    <row r="58" spans="2:10" x14ac:dyDescent="0.25">
      <c r="B58" s="48"/>
      <c r="E58" s="49"/>
      <c r="F58" s="49"/>
      <c r="J58" s="48"/>
    </row>
    <row r="59" spans="2:10" x14ac:dyDescent="0.25">
      <c r="B59" s="48"/>
      <c r="E59" s="49"/>
      <c r="F59" s="49"/>
      <c r="J59" s="48"/>
    </row>
    <row r="60" spans="2:10" x14ac:dyDescent="0.25">
      <c r="E60" s="49"/>
      <c r="F60" s="49"/>
    </row>
    <row r="61" spans="2:10" x14ac:dyDescent="0.25">
      <c r="E61" s="49"/>
      <c r="F61" s="49"/>
    </row>
    <row r="62" spans="2:10" x14ac:dyDescent="0.25">
      <c r="E62" s="49"/>
      <c r="F62" s="49"/>
    </row>
    <row r="63" spans="2:10" x14ac:dyDescent="0.25">
      <c r="E63" s="49"/>
      <c r="F63" s="49"/>
    </row>
    <row r="64" spans="2:10" x14ac:dyDescent="0.25">
      <c r="E64" s="49"/>
      <c r="F64" s="49"/>
    </row>
    <row r="65" spans="5:6" x14ac:dyDescent="0.25">
      <c r="E65" s="49"/>
      <c r="F65" s="49"/>
    </row>
    <row r="66" spans="5:6" x14ac:dyDescent="0.25">
      <c r="E66" s="49"/>
      <c r="F66" s="49"/>
    </row>
  </sheetData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>
    <pageSetUpPr fitToPage="1"/>
  </sheetPr>
  <dimension ref="A1:R39"/>
  <sheetViews>
    <sheetView zoomScaleNormal="100" zoomScaleSheetLayoutView="100" workbookViewId="0">
      <pane ySplit="3" topLeftCell="A4" activePane="bottomLeft" state="frozen"/>
      <selection pane="bottomLeft" activeCell="Q4" sqref="Q4"/>
    </sheetView>
  </sheetViews>
  <sheetFormatPr defaultRowHeight="12.75" x14ac:dyDescent="0.25"/>
  <cols>
    <col min="1" max="1" width="9.140625" style="40"/>
    <col min="2" max="8" width="9.140625" style="38"/>
    <col min="9" max="9" width="33.85546875" style="38" customWidth="1"/>
    <col min="10" max="10" width="14.28515625" style="40" customWidth="1"/>
    <col min="11" max="11" width="10.28515625" style="38" customWidth="1"/>
    <col min="12" max="12" width="9.42578125" style="38" customWidth="1"/>
    <col min="13" max="13" width="43.7109375" style="42" customWidth="1"/>
    <col min="14" max="16384" width="9.140625" style="38"/>
  </cols>
  <sheetData>
    <row r="1" spans="1:13" ht="12.75" customHeight="1" x14ac:dyDescent="0.25">
      <c r="A1" s="53" t="str">
        <f>UPPER(PlanAktarılacakSayfa!A1)&amp;" KONTROL LİSTESİ"</f>
        <v xml:space="preserve"> KONTROL LİSTESİ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</row>
    <row r="2" spans="1:13" ht="27.75" customHeight="1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</row>
    <row r="3" spans="1:13" s="40" customFormat="1" ht="50.25" customHeight="1" x14ac:dyDescent="0.25">
      <c r="A3" s="50" t="s">
        <v>62</v>
      </c>
      <c r="B3" s="54" t="s">
        <v>63</v>
      </c>
      <c r="C3" s="54"/>
      <c r="D3" s="54"/>
      <c r="E3" s="54"/>
      <c r="F3" s="54"/>
      <c r="G3" s="54"/>
      <c r="H3" s="54"/>
      <c r="I3" s="54"/>
      <c r="J3" s="39" t="s">
        <v>98</v>
      </c>
      <c r="K3" s="50" t="s">
        <v>64</v>
      </c>
      <c r="L3" s="39" t="s">
        <v>65</v>
      </c>
      <c r="M3" s="39" t="s">
        <v>181</v>
      </c>
    </row>
    <row r="4" spans="1:13" ht="39.75" customHeight="1" x14ac:dyDescent="0.25">
      <c r="A4" s="34">
        <v>1</v>
      </c>
      <c r="B4" s="51" t="s">
        <v>66</v>
      </c>
      <c r="C4" s="51"/>
      <c r="D4" s="51"/>
      <c r="E4" s="51"/>
      <c r="F4" s="51"/>
      <c r="G4" s="51"/>
      <c r="H4" s="51"/>
      <c r="I4" s="51"/>
      <c r="J4" s="34" t="s">
        <v>316</v>
      </c>
      <c r="K4" s="34" t="str">
        <f>IF(MATCH("Değerlendirilen Okul Türü",Düzeyler!AO4:AO8,0)=1,IF(J4="Alınsın",IF('Hedef Girişi'!C6="Genel Hedef Doğru Girilmiş","X",""),""),"X")</f>
        <v>X</v>
      </c>
      <c r="L4" s="34" t="str">
        <f t="shared" ref="L4:L37" si="0">IF(J4="Alınmasın","",IF(K4="X","","X"))</f>
        <v/>
      </c>
      <c r="M4" s="35" t="str">
        <f>IF('Hedef Girişi'!C6="Genel Hedef Doğru Girilmiş",'Hedef Girişi'!B2&amp;" --- Genel Hedef Doğru Girilmiş","Olması gereken genel hedef: "&amp;'Hedef Girişi'!B6&amp;" Sizin giriş yaptığınız: "&amp;'Hedef Girişi'!B2)</f>
        <v>GENEL HEDEF - Aile İçi İletişim-Çocuk Hakları ve Çocuk Kıymeti --- Genel Hedef Doğru Girilmiş</v>
      </c>
    </row>
    <row r="5" spans="1:13" ht="39.75" customHeight="1" x14ac:dyDescent="0.25">
      <c r="A5" s="36">
        <v>2</v>
      </c>
      <c r="B5" s="52" t="s">
        <v>67</v>
      </c>
      <c r="C5" s="52"/>
      <c r="D5" s="52"/>
      <c r="E5" s="52"/>
      <c r="F5" s="52"/>
      <c r="G5" s="52"/>
      <c r="H5" s="52"/>
      <c r="I5" s="52"/>
      <c r="J5" s="36" t="s">
        <v>316</v>
      </c>
      <c r="K5" s="36" t="str">
        <f ca="1">IF(J5="Alınsın",IF(AND(SUM(Düzeyler!D4:D12)&gt;=Düzeyler!W22,M5&lt;&gt;"Yapılacak çalışma ile Hedef uyumsuzluğu bulunmaktadır."),"X",""),"")</f>
        <v/>
      </c>
      <c r="L5" s="36" t="str">
        <f t="shared" ca="1" si="0"/>
        <v>X</v>
      </c>
      <c r="M5" s="37" t="str">
        <f ca="1">IF('Hedef Girişi'!M4=TRUE,
  IF(SUM(Düzeyler!D4:D12)&gt;0,
    "Öğrenciler İçin Toplam "&amp;SUM(Düzeyler!D4:D12)&amp;" Çalışma Girilmiş "&amp;(9-COUNTIF(Düzeyler!D4:D12,0))&amp;" Farklı Faaliyet Türünde"&amp;IF(Düzeyler!D25=0,""," --- Faaliyet Türü Girilmemiş Çalışma Sayısı: "&amp;Düzeyler!D25),
    IF(SUM(Düzeyler!D13:D24)&gt;0,
      "2. ve 3. Düzey Faaliyet Sayısı: "&amp;SUM(Düzeyler!D13:D24),
      "Çalışma Girilmemiş"
    )
  ),
  "Yapılacak çalışma ile Hedef uyumsuzluğu bulunmaktadır."
)</f>
        <v>Çalışma Girilmemiş</v>
      </c>
    </row>
    <row r="6" spans="1:13" ht="39.75" customHeight="1" x14ac:dyDescent="0.25">
      <c r="A6" s="34">
        <v>3</v>
      </c>
      <c r="B6" s="51" t="s">
        <v>68</v>
      </c>
      <c r="C6" s="51"/>
      <c r="D6" s="51"/>
      <c r="E6" s="51"/>
      <c r="F6" s="51"/>
      <c r="G6" s="51"/>
      <c r="H6" s="51"/>
      <c r="I6" s="51"/>
      <c r="J6" s="34" t="s">
        <v>316</v>
      </c>
      <c r="K6" s="34" t="str">
        <f ca="1">IF(J6="Alınsın",IF(AND(SUM(Düzeyler!F4:F12)&gt;=Düzeyler!Y22,M6&lt;&gt;"Yapılacak çalışma ile Hedef uyumsuzluğu bulunmaktadır."),"X",""),"")</f>
        <v/>
      </c>
      <c r="L6" s="34" t="str">
        <f t="shared" ca="1" si="0"/>
        <v>X</v>
      </c>
      <c r="M6" s="35" t="str">
        <f ca="1">IF('Hedef Girişi'!O4=TRUE,
  IF(SUM(Düzeyler!F4:F12)&gt;0,
    "Öğretmenler İçin Toplam "&amp;SUM(Düzeyler!F4:F12)&amp;" Çalışma Girilmiş "&amp;(9-COUNTIF(Düzeyler!F4:F12,0))&amp;" Farklı Faaliyet Türünde"&amp;IF(Düzeyler!F25=0,""," --- Faaliyet Türü Girilmemiş Çalışma Sayısı: "&amp;Düzeyler!F25),
    IF(SUM(Düzeyler!F13:F24)&gt;0,
      "2. ve 3. Düzey Faaliyet Sayısı: "&amp;SUM(Düzeyler!F13:F24),
      "Çalışma Girilmemiş"
    )
  ),
  "Yapılacak çalışma ile Hedef uyumsuzluğu bulunmaktadır."
)</f>
        <v>Çalışma Girilmemiş</v>
      </c>
    </row>
    <row r="7" spans="1:13" ht="39.75" customHeight="1" x14ac:dyDescent="0.25">
      <c r="A7" s="36">
        <v>4</v>
      </c>
      <c r="B7" s="52" t="s">
        <v>69</v>
      </c>
      <c r="C7" s="52"/>
      <c r="D7" s="52"/>
      <c r="E7" s="52"/>
      <c r="F7" s="52"/>
      <c r="G7" s="52"/>
      <c r="H7" s="52"/>
      <c r="I7" s="52"/>
      <c r="J7" s="36" t="s">
        <v>316</v>
      </c>
      <c r="K7" s="36" t="str">
        <f ca="1">IF(J7="Alınsın",IF(AND(SUM(Düzeyler!E4:E12)&gt;=Düzeyler!X22,M7&lt;&gt;"Yapılacak çalışma ile Hedef uyumsuzluğu bulunmaktadır."),"X",""),"")</f>
        <v/>
      </c>
      <c r="L7" s="36" t="str">
        <f t="shared" ca="1" si="0"/>
        <v>X</v>
      </c>
      <c r="M7" s="37" t="str">
        <f ca="1">IF('Hedef Girişi'!N4=TRUE,
  IF(SUM(Düzeyler!E4:E12)&gt;0,
    "Veliler İçin Toplam "&amp;SUM(Düzeyler!E4:E12)&amp;" Çalışma Girilmiş "&amp;(9-COUNTIF(Düzeyler!E4:E12,0))&amp;" Farklı Faaliyet Türünde"&amp;IF(Düzeyler!E25=0,""," --- Faaliyet Türü Girilmemiş Çalışma Sayısı: "&amp;Düzeyler!E25),
    IF(SUM(Düzeyler!E13:E24)&gt;0,
      "2. ve 3. Düzey Faaliyet Sayısı: "&amp;SUM(Düzeyler!E13:E24),
      "Çalışma Girilmemiş"
    )
  ),
  "Yapılacak çalışma ile Hedef uyumsuzluğu bulunmaktadır."
)</f>
        <v>Çalışma Girilmemiş</v>
      </c>
    </row>
    <row r="8" spans="1:13" ht="39.75" hidden="1" customHeight="1" x14ac:dyDescent="0.25">
      <c r="A8" s="34">
        <v>5</v>
      </c>
      <c r="B8" s="51" t="s">
        <v>350</v>
      </c>
      <c r="C8" s="51"/>
      <c r="D8" s="51"/>
      <c r="E8" s="51"/>
      <c r="F8" s="51"/>
      <c r="G8" s="51"/>
      <c r="H8" s="51"/>
      <c r="I8" s="51"/>
      <c r="J8" s="34" t="s">
        <v>1085</v>
      </c>
      <c r="K8" s="34" t="str">
        <f>IF(J8="Alınsın",IF('Hedef Girişi'!C7="2. Genel Hedef Doğru Girilmiş","X",""),"")</f>
        <v/>
      </c>
      <c r="L8" s="34" t="str">
        <f t="shared" si="0"/>
        <v/>
      </c>
      <c r="M8" s="35" t="str">
        <f>IF('Hedef Girişi'!C7="2. Genel Hedef Doğru Girilmiş",'Hedef Girişi'!C2&amp;" --- 2. Genel Hedef Doğru Girilmiş","Olması gereken 2. genel hedef: "&amp;'Hedef Girişi'!B7&amp;" Sizin giriş yaptığınız: "&amp;'Hedef Girişi'!C2)</f>
        <v xml:space="preserve"> --- 2. Genel Hedef Doğru Girilmiş</v>
      </c>
    </row>
    <row r="9" spans="1:13" ht="39.75" hidden="1" customHeight="1" x14ac:dyDescent="0.25">
      <c r="A9" s="36">
        <v>6</v>
      </c>
      <c r="B9" s="52" t="s">
        <v>351</v>
      </c>
      <c r="C9" s="52"/>
      <c r="D9" s="52"/>
      <c r="E9" s="52"/>
      <c r="F9" s="52"/>
      <c r="G9" s="52"/>
      <c r="H9" s="52"/>
      <c r="I9" s="52"/>
      <c r="J9" s="36" t="s">
        <v>1085</v>
      </c>
      <c r="K9" s="36" t="str">
        <f>IF(J9="Alınsın",IF(AND(SUM(Düzeyler!G4:G12)&gt;=Düzeyler!Z22,M9&lt;&gt;"Yapılacak çalışma ile Hedef uyumsuzluğu bulunmaktadır."),"X",""),"")</f>
        <v/>
      </c>
      <c r="L9" s="36" t="str">
        <f t="shared" si="0"/>
        <v/>
      </c>
      <c r="M9" s="37" t="str">
        <f>IF('Hedef Girişi'!M5=TRUE,"Öğrenciler İçin Toplam "&amp;SUM(Düzeyler!G4:G12)&amp;" Çalışma Girilmiş " &amp;9-COUNTIF(Düzeyler!G4:G12,0)&amp;" Farklı Faaliyet Türünde"&amp;IF(Düzeyler!G25=0,""," --- Faaliyet Türü Girilmemiş Çalışma Sayısı: "&amp;Düzeyler!G25),"Yapılacak çalışma ile Hedef uyumsuzluğu bulunmaktadır.")</f>
        <v>Öğrenciler İçin Toplam 0 Çalışma Girilmiş 0 Farklı Faaliyet Türünde</v>
      </c>
    </row>
    <row r="10" spans="1:13" ht="39.75" hidden="1" customHeight="1" x14ac:dyDescent="0.25">
      <c r="A10" s="34">
        <v>7</v>
      </c>
      <c r="B10" s="51" t="s">
        <v>352</v>
      </c>
      <c r="C10" s="51"/>
      <c r="D10" s="51"/>
      <c r="E10" s="51"/>
      <c r="F10" s="51"/>
      <c r="G10" s="51"/>
      <c r="H10" s="51"/>
      <c r="I10" s="51"/>
      <c r="J10" s="34" t="s">
        <v>1085</v>
      </c>
      <c r="K10" s="34" t="str">
        <f>IF(J10="Alınsın",IF(AND(SUM(Düzeyler!I4:I12)&gt;=Düzeyler!AB22,M10&lt;&gt;"Yapılacak çalışma ile Hedef uyumsuzluğu bulunmaktadır."),"X",""),"")</f>
        <v/>
      </c>
      <c r="L10" s="34" t="str">
        <f t="shared" si="0"/>
        <v/>
      </c>
      <c r="M10" s="35" t="str">
        <f>IF('Hedef Girişi'!O5=TRUE,"Öğretmenler İçin Toplam "&amp;SUM(Düzeyler!I4:I12)&amp;" Çalışma Girilmiş " &amp;9-COUNTIF(Düzeyler!I4:I12,0)&amp;" Farklı Faaliyet Türünde"&amp;IF(Düzeyler!I25=0,""," --- Faaliyet Türü Girilmemiş Çalışma Sayısı: "&amp;Düzeyler!I25),"Yapılacak çalışma ile Hedef uyumsuzluğu bulunmaktadır.")</f>
        <v>Öğretmenler İçin Toplam 0 Çalışma Girilmiş 0 Farklı Faaliyet Türünde</v>
      </c>
    </row>
    <row r="11" spans="1:13" ht="39.75" hidden="1" customHeight="1" x14ac:dyDescent="0.25">
      <c r="A11" s="36">
        <v>8</v>
      </c>
      <c r="B11" s="52" t="s">
        <v>353</v>
      </c>
      <c r="C11" s="52"/>
      <c r="D11" s="52"/>
      <c r="E11" s="52"/>
      <c r="F11" s="52"/>
      <c r="G11" s="52"/>
      <c r="H11" s="52"/>
      <c r="I11" s="52"/>
      <c r="J11" s="36" t="s">
        <v>1085</v>
      </c>
      <c r="K11" s="36" t="str">
        <f>IF(J11="Alınsın",IF(AND(SUM(Düzeyler!H4:H12)&gt;=Düzeyler!AA22,M11&lt;&gt;"Yapılacak çalışma ile Hedef uyumsuzluğu bulunmaktadır."),"X",""),"")</f>
        <v/>
      </c>
      <c r="L11" s="36" t="str">
        <f t="shared" si="0"/>
        <v/>
      </c>
      <c r="M11" s="37" t="str">
        <f>IF('Hedef Girişi'!N5=TRUE,"Veliler İçin Toplam "&amp;SUM(Düzeyler!H4:H12)&amp;" Çalışma Girilmiş " &amp;9-COUNTIF(Düzeyler!H4:H12,0)&amp;" Farklı Faaliyet Türünde"&amp;IF(Düzeyler!H25=0,""," --- Faaliyet Türü Girilmemiş Çalışma Sayısı: "&amp;Düzeyler!H25),"Yapılacak çalışma ile Hedef uyumsuzluğu bulunmaktadır.")</f>
        <v>Veliler İçin Toplam 0 Çalışma Girilmiş 0 Farklı Faaliyet Türünde</v>
      </c>
    </row>
    <row r="12" spans="1:13" ht="39.75" customHeight="1" x14ac:dyDescent="0.25">
      <c r="A12" s="34">
        <v>9</v>
      </c>
      <c r="B12" s="51" t="s">
        <v>70</v>
      </c>
      <c r="C12" s="51"/>
      <c r="D12" s="51"/>
      <c r="E12" s="51"/>
      <c r="F12" s="51"/>
      <c r="G12" s="51"/>
      <c r="H12" s="51"/>
      <c r="I12" s="51"/>
      <c r="J12" s="34" t="s">
        <v>316</v>
      </c>
      <c r="K12" s="34" t="str">
        <f>IF(MATCH("Değerlendirilen Okul Türü",Düzeyler!AO4:AO8,0)=1,IF(J12="Alınsın",IF('Hedef Girişi'!C15="Yerel Hedef Doğru Girilmiş","X",""),""),"X")</f>
        <v/>
      </c>
      <c r="L12" s="34" t="str">
        <f t="shared" si="0"/>
        <v>X</v>
      </c>
      <c r="M12" s="35" t="str">
        <f>IF('Hedef Girişi'!C15="Yerel Hedef Doğru Girilmiş",'Hedef Girişi'!B3&amp;" --- Yerel Hedef Doğru Girilmiş","Olması gereken yerel hedef: "&amp;'Hedef Girişi'!B15&amp;" Sizin giriş yaptığınız: "&amp;'Hedef Girişi'!B3)</f>
        <v>Olması gereken yerel hedef: Otokontrol Sizin giriş yaptığınız: YEREL HEDEF - Akran Zorbalığı</v>
      </c>
    </row>
    <row r="13" spans="1:13" ht="39.75" customHeight="1" x14ac:dyDescent="0.25">
      <c r="A13" s="36">
        <v>10</v>
      </c>
      <c r="B13" s="52" t="s">
        <v>71</v>
      </c>
      <c r="C13" s="52"/>
      <c r="D13" s="52"/>
      <c r="E13" s="52"/>
      <c r="F13" s="52"/>
      <c r="G13" s="52"/>
      <c r="H13" s="52"/>
      <c r="I13" s="52"/>
      <c r="J13" s="36" t="s">
        <v>316</v>
      </c>
      <c r="K13" s="36" t="str">
        <f ca="1">IF(J13="Alınsın",IF(AND(SUM(Düzeyler!J4:J12)&gt;=Düzeyler!AC22,M13&lt;&gt;"Yapılacak çalışma ile Hedef uyumsuzluğu bulunmaktadır."),"X",""),"")</f>
        <v/>
      </c>
      <c r="L13" s="36" t="str">
        <f t="shared" ca="1" si="0"/>
        <v>X</v>
      </c>
      <c r="M13" s="37" t="str">
        <f ca="1">IF('Hedef Girişi'!M6=TRUE,
  IF(SUM(Düzeyler!J4:J12)&gt;0,
    "Öğrenciler İçin Toplam "&amp;SUM(Düzeyler!J4:J12)&amp;" Çalışma Girilmiş "&amp;(9-COUNTIF(Düzeyler!J4:J12,0))&amp;" Farklı Faaliyet Türünde"&amp;IF(Düzeyler!J25=0,""," --- Faaliyet Türü Girilmemiş Çalışma Sayısı: "&amp;Düzeyler!J25),
    IF(SUM(Düzeyler!J13:J24)&gt;0,
      "2. ve 3. Düzey Faaliyet Sayısı: "&amp;SUM(Düzeyler!J13:J24),
      "Çalışma Girilmemiş"
    )
  ),
  "Yapılacak çalışma ile Hedef uyumsuzluğu bulunmaktadır."
)</f>
        <v>Çalışma Girilmemiş</v>
      </c>
    </row>
    <row r="14" spans="1:13" ht="39.75" customHeight="1" x14ac:dyDescent="0.25">
      <c r="A14" s="34">
        <v>11</v>
      </c>
      <c r="B14" s="51" t="s">
        <v>72</v>
      </c>
      <c r="C14" s="51"/>
      <c r="D14" s="51"/>
      <c r="E14" s="51"/>
      <c r="F14" s="51"/>
      <c r="G14" s="51"/>
      <c r="H14" s="51"/>
      <c r="I14" s="51"/>
      <c r="J14" s="34" t="s">
        <v>316</v>
      </c>
      <c r="K14" s="34" t="str">
        <f ca="1">IF(J14="Alınsın",IF(AND(SUM(Düzeyler!L4:L12)&gt;=Düzeyler!AE22,M14&lt;&gt;"Yapılacak çalışma ile Hedef uyumsuzluğu bulunmaktadır."),"X",""),"")</f>
        <v/>
      </c>
      <c r="L14" s="34" t="str">
        <f t="shared" ca="1" si="0"/>
        <v>X</v>
      </c>
      <c r="M14" s="35" t="str">
        <f ca="1">IF('Hedef Girişi'!O6=TRUE,
  IF(SUM(Düzeyler!L4:L12)&gt;0,
    "Öğretmenler İçin Toplam "&amp;SUM(Düzeyler!L4:L12)&amp;" Çalışma Girilmiş "&amp;(9-COUNTIF(Düzeyler!L4:L12,0))&amp;" Farklı Faaliyet Türünde"&amp;IF(Düzeyler!L25=0,""," --- Faaliyet Türü Girilmemiş Çalışma Sayısı: "&amp;Düzeyler!L25),
    IF(SUM(Düzeyler!L13:L24)&gt;0,
      "2. ve 3. Düzey Faaliyet Sayısı: "&amp;SUM(Düzeyler!L13:L24),
      "Çalışma Girilmemiş"
    )
  ),
  "Yapılacak çalışma ile Hedef uyumsuzluğu bulunmaktadır."
)</f>
        <v>Çalışma Girilmemiş</v>
      </c>
    </row>
    <row r="15" spans="1:13" ht="39.75" customHeight="1" x14ac:dyDescent="0.25">
      <c r="A15" s="36">
        <v>12</v>
      </c>
      <c r="B15" s="52" t="s">
        <v>73</v>
      </c>
      <c r="C15" s="52"/>
      <c r="D15" s="52"/>
      <c r="E15" s="52"/>
      <c r="F15" s="52"/>
      <c r="G15" s="52"/>
      <c r="H15" s="52"/>
      <c r="I15" s="52"/>
      <c r="J15" s="36" t="s">
        <v>316</v>
      </c>
      <c r="K15" s="36" t="str">
        <f ca="1">IF(J15="Alınsın",IF(AND(SUM(Düzeyler!K4:K12)&gt;=Düzeyler!AD22,M15&lt;&gt;"Yapılacak çalışma ile Hedef uyumsuzluğu bulunmaktadır."),"X",""),"")</f>
        <v/>
      </c>
      <c r="L15" s="36" t="str">
        <f t="shared" ca="1" si="0"/>
        <v>X</v>
      </c>
      <c r="M15" s="37" t="str">
        <f ca="1">IF('Hedef Girişi'!N6=TRUE,
  IF(SUM(Düzeyler!K4:K12)&gt;0,
    "Veliler İçin Toplam "&amp;SUM(Düzeyler!K4:K12)&amp;" Çalışma Girilmiş "&amp;(9-COUNTIF(Düzeyler!K4:K12,0))&amp;" Farklı Faaliyet Türünde"&amp;IF(Düzeyler!K25=0,""," --- Faaliyet Türü Girilmemiş Çalışma Sayısı: "&amp;Düzeyler!K25),
    IF(SUM(Düzeyler!K13:K24)&gt;0,
      "2. ve 3. Düzey Faaliyet Sayısı: "&amp;SUM(Düzeyler!K13:K24),
      "Çalışma Girilmemiş"
    )
  ),
  "Yapılacak çalışma ile Hedef uyumsuzluğu bulunmaktadır."
)</f>
        <v>Çalışma Girilmemiş</v>
      </c>
    </row>
    <row r="16" spans="1:13" ht="39.75" hidden="1" customHeight="1" x14ac:dyDescent="0.25">
      <c r="A16" s="34">
        <v>13</v>
      </c>
      <c r="B16" s="51" t="s">
        <v>373</v>
      </c>
      <c r="C16" s="51"/>
      <c r="D16" s="51"/>
      <c r="E16" s="51"/>
      <c r="F16" s="51"/>
      <c r="G16" s="51"/>
      <c r="H16" s="51"/>
      <c r="I16" s="51"/>
      <c r="J16" s="34" t="s">
        <v>1085</v>
      </c>
      <c r="K16" s="34" t="str">
        <f>IF(J16="Alınsın",IF(LEN(M16)&gt;0,"X",""),"")</f>
        <v/>
      </c>
      <c r="L16" s="34" t="str">
        <f t="shared" si="0"/>
        <v/>
      </c>
      <c r="M16" s="35" t="str">
        <f>IF('Hedef Girişi'!C16="2. Yerel Hedef Doğru Girilmiş",'Hedef Girişi'!C3&amp;" --- 2. Yerel Hedef Doğru Girilmiş","Olması gereken 2. yerel hedef: "&amp;'Hedef Girişi'!B16&amp;" Sizin giriş yaptığınız: "&amp;'Hedef Girişi'!C3)</f>
        <v xml:space="preserve"> --- 2. Yerel Hedef Doğru Girilmiş</v>
      </c>
    </row>
    <row r="17" spans="1:13" ht="39.75" hidden="1" customHeight="1" x14ac:dyDescent="0.25">
      <c r="A17" s="36">
        <v>14</v>
      </c>
      <c r="B17" s="52" t="s">
        <v>374</v>
      </c>
      <c r="C17" s="52"/>
      <c r="D17" s="52"/>
      <c r="E17" s="52"/>
      <c r="F17" s="52"/>
      <c r="G17" s="52"/>
      <c r="H17" s="52"/>
      <c r="I17" s="52"/>
      <c r="J17" s="36" t="s">
        <v>1085</v>
      </c>
      <c r="K17" s="36" t="str">
        <f>IF(J17="Alınsın",IF(SUM(Düzeyler!M4:M12)&gt;=Düzeyler!AF22,"X",""),"")</f>
        <v/>
      </c>
      <c r="L17" s="36" t="str">
        <f t="shared" si="0"/>
        <v/>
      </c>
      <c r="M17" s="37" t="str">
        <f>IF('Hedef Girişi'!M7=TRUE,"Öğrenciler İçin Toplam "&amp;SUM(Düzeyler!M4:M12)&amp;" Çalışma Girilmiş " &amp;9-COUNTIF(Düzeyler!M4:M12,0)&amp;" Farklı Faaliyet Türünde"&amp;IF(Düzeyler!M25=0,""," --- Faaliyet Türü Girilmemiş Çalışma Sayısı: "&amp;Düzeyler!M25),"Yapılacak çalışma ile Hedef uyumsuzluğu bulunmaktadır.")</f>
        <v>Öğrenciler İçin Toplam 0 Çalışma Girilmiş 0 Farklı Faaliyet Türünde</v>
      </c>
    </row>
    <row r="18" spans="1:13" ht="39.75" hidden="1" customHeight="1" x14ac:dyDescent="0.25">
      <c r="A18" s="34">
        <v>15</v>
      </c>
      <c r="B18" s="51" t="s">
        <v>375</v>
      </c>
      <c r="C18" s="51"/>
      <c r="D18" s="51"/>
      <c r="E18" s="51"/>
      <c r="F18" s="51"/>
      <c r="G18" s="51"/>
      <c r="H18" s="51"/>
      <c r="I18" s="51"/>
      <c r="J18" s="34" t="s">
        <v>1085</v>
      </c>
      <c r="K18" s="34" t="str">
        <f>IF(J18="Alınsın",IF(SUM(Düzeyler!O4:O12)&gt;=Düzeyler!AH22,"X",""),"")</f>
        <v/>
      </c>
      <c r="L18" s="34" t="str">
        <f t="shared" si="0"/>
        <v/>
      </c>
      <c r="M18" s="35" t="str">
        <f>IF('Hedef Girişi'!O7=TRUE,"Öğretmenler İçin Toplam "&amp;SUM(Düzeyler!O4:O12)&amp;" Çalışma Girilmiş " &amp;9-COUNTIF(Düzeyler!O4:O12,0)&amp;" Farklı Faaliyet Türünde"&amp;IF(Düzeyler!O25=0,""," --- Faaliyet Türü Girilmemiş Çalışma Sayısı: "&amp;Düzeyler!O25),"Yapılacak çalışma ile Hedef uyumsuzluğu bulunmaktadır.")</f>
        <v>Öğretmenler İçin Toplam 0 Çalışma Girilmiş 0 Farklı Faaliyet Türünde</v>
      </c>
    </row>
    <row r="19" spans="1:13" ht="39.75" hidden="1" customHeight="1" x14ac:dyDescent="0.25">
      <c r="A19" s="36">
        <v>16</v>
      </c>
      <c r="B19" s="52" t="s">
        <v>376</v>
      </c>
      <c r="C19" s="52"/>
      <c r="D19" s="52"/>
      <c r="E19" s="52"/>
      <c r="F19" s="52"/>
      <c r="G19" s="52"/>
      <c r="H19" s="52"/>
      <c r="I19" s="52"/>
      <c r="J19" s="36" t="s">
        <v>1085</v>
      </c>
      <c r="K19" s="36" t="str">
        <f>IF(J19="Alınsın",IF(SUM(Düzeyler!N4:N12)&gt;=Düzeyler!AG22,"X",""),"")</f>
        <v/>
      </c>
      <c r="L19" s="36" t="str">
        <f t="shared" si="0"/>
        <v/>
      </c>
      <c r="M19" s="37" t="str">
        <f>IF('Hedef Girişi'!N7=TRUE,"Veliler İçin Toplam "&amp;SUM(Düzeyler!N4:N12)&amp;" Çalışma Girilmiş " &amp;9-COUNTIF(Düzeyler!N4:N12,0)&amp;" Farklı Faaliyet Türünde"&amp;IF(Düzeyler!N25=0,""," --- Faaliyet Türü Girilmemiş Çalışma Sayısı: "&amp;Düzeyler!N25),"Yapılacak çalışma ile Hedef uyumsuzluğu bulunmaktadır.")</f>
        <v>Veliler İçin Toplam 0 Çalışma Girilmiş 0 Farklı Faaliyet Türünde</v>
      </c>
    </row>
    <row r="20" spans="1:13" ht="39.75" customHeight="1" x14ac:dyDescent="0.25">
      <c r="A20" s="34">
        <v>17</v>
      </c>
      <c r="B20" s="51" t="s">
        <v>74</v>
      </c>
      <c r="C20" s="51"/>
      <c r="D20" s="51"/>
      <c r="E20" s="51"/>
      <c r="F20" s="51"/>
      <c r="G20" s="51"/>
      <c r="H20" s="51"/>
      <c r="I20" s="51"/>
      <c r="J20" s="34" t="s">
        <v>316</v>
      </c>
      <c r="K20" s="34" t="str">
        <f>IF(J20="Alınsın",IF(M20="Özel Hedefler Girilmiş","X",""),"")</f>
        <v>X</v>
      </c>
      <c r="L20" s="34" t="str">
        <f t="shared" si="0"/>
        <v/>
      </c>
      <c r="M20" s="35" t="str">
        <f>IF('Hedef Girişi'!B4&lt;&gt;"",IF('Hedef Girişi'!C4&lt;&gt;"","Özel Hedefler Girilmiş","Özel Hedef 2 Girilmedi"),IF('Hedef Girişi'!C4="","Özel Hedef 1 ve 2 Girilmemiş","Özel Hedef 1 Girilmemiş"))</f>
        <v>Özel Hedefler Girilmiş</v>
      </c>
    </row>
    <row r="21" spans="1:13" ht="39.75" customHeight="1" x14ac:dyDescent="0.25">
      <c r="A21" s="36">
        <v>18</v>
      </c>
      <c r="B21" s="52" t="s">
        <v>177</v>
      </c>
      <c r="C21" s="52"/>
      <c r="D21" s="52"/>
      <c r="E21" s="52"/>
      <c r="F21" s="52"/>
      <c r="G21" s="52"/>
      <c r="H21" s="52"/>
      <c r="I21" s="52"/>
      <c r="J21" s="36" t="s">
        <v>316</v>
      </c>
      <c r="K21" s="36" t="str">
        <f>IF(J21="Alınsın",IF(SUM(Düzeyler!P4:P12)&gt;=Düzeyler!AI22,"X",""),"")</f>
        <v/>
      </c>
      <c r="L21" s="36" t="str">
        <f t="shared" si="0"/>
        <v>X</v>
      </c>
      <c r="M21" s="37" t="str">
        <f ca="1">IF('Hedef Girişi'!M8=TRUE,
  IF(SUM(Düzeyler!P4:P12)&gt;0,
    "Öğrenciler İçin Toplam "&amp;SUM(Düzeyler!P4:P12)&amp;" Çalışma Girilmiş "&amp;(9-COUNTIF(Düzeyler!P4:P12,0))&amp;" Farklı Faaliyet Türünde"&amp;IF(Düzeyler!P25=0,""," --- Faaliyet Türü Girilmemiş Çalışma Sayısı: "&amp;Düzeyler!P25),
    IF(SUM(Düzeyler!P13:P24)&gt;0,
      "2. ve 3. Düzey Faaliyet Sayısı: "&amp;SUM(Düzeyler!P13:P24),
      "Çalışma Girilmemiş"
    )
  ),
  "Yapılacak çalışma ile Hedef uyumsuzluğu bulunmaktadır."
)</f>
        <v>Çalışma Girilmemiş</v>
      </c>
    </row>
    <row r="22" spans="1:13" ht="39.75" customHeight="1" x14ac:dyDescent="0.25">
      <c r="A22" s="34">
        <v>19</v>
      </c>
      <c r="B22" s="51" t="s">
        <v>175</v>
      </c>
      <c r="C22" s="51"/>
      <c r="D22" s="51"/>
      <c r="E22" s="51"/>
      <c r="F22" s="51"/>
      <c r="G22" s="51"/>
      <c r="H22" s="51"/>
      <c r="I22" s="51"/>
      <c r="J22" s="34" t="s">
        <v>316</v>
      </c>
      <c r="K22" s="34" t="str">
        <f>IF(J22="Alınsın",IF(SUM(Düzeyler!R4:R12)&gt;=Düzeyler!AK22,"X",""),"")</f>
        <v/>
      </c>
      <c r="L22" s="34" t="str">
        <f t="shared" si="0"/>
        <v>X</v>
      </c>
      <c r="M22" s="35" t="str">
        <f ca="1">IF('Hedef Girişi'!O8=TRUE,
  IF(SUM(Düzeyler!R4:R12)&gt;0,
    "Öğretmenler İçin Toplam "&amp;SUM(Düzeyler!R4:R12)&amp;" Çalışma Girilmiş "&amp;(9-COUNTIF(Düzeyler!R4:R12,0))&amp;" Farklı Faaliyet Türünde"&amp;IF(Düzeyler!R25=0,""," --- Faaliyet Türü Girilmemiş Çalışma Sayısı: "&amp;Düzeyler!R25),
    IF(SUM(Düzeyler!R13:R24)&gt;0,
      "2. ve 3. Düzey Faaliyet Sayısı: "&amp;SUM(Düzeyler!R13:R24),
      "Çalışma Girilmemiş"
    )
  ),
  "Yapılacak çalışma ile Hedef uyumsuzluğu bulunmaktadır."
)</f>
        <v>Çalışma Girilmemiş</v>
      </c>
    </row>
    <row r="23" spans="1:13" ht="39.75" customHeight="1" x14ac:dyDescent="0.25">
      <c r="A23" s="36">
        <v>20</v>
      </c>
      <c r="B23" s="52" t="s">
        <v>176</v>
      </c>
      <c r="C23" s="52"/>
      <c r="D23" s="52"/>
      <c r="E23" s="52"/>
      <c r="F23" s="52"/>
      <c r="G23" s="52"/>
      <c r="H23" s="52"/>
      <c r="I23" s="52"/>
      <c r="J23" s="36" t="s">
        <v>316</v>
      </c>
      <c r="K23" s="36" t="str">
        <f>IF(J23="Alınsın",IF(SUM(Düzeyler!Q4:Q12)&gt;=Düzeyler!AJ22,"X",""),"")</f>
        <v/>
      </c>
      <c r="L23" s="36" t="str">
        <f t="shared" si="0"/>
        <v>X</v>
      </c>
      <c r="M23" s="37" t="str">
        <f ca="1">IF('Hedef Girişi'!N8=TRUE,
  IF(SUM(Düzeyler!Q4:Q12)&gt;0,
    "Veliler İçin Toplam "&amp;SUM(Düzeyler!Q4:Q12)&amp;" Çalışma Girilmiş "&amp;(9-COUNTIF(Düzeyler!Q4:Q12,0))&amp;" Farklı Faaliyet Türünde"&amp;IF(Düzeyler!Q25=0,""," --- Faaliyet Türü Girilmemiş Çalışma Sayısı: "&amp;Düzeyler!Q25),
    IF(SUM(Düzeyler!Q13:Q24)&gt;0,
      "2. ve 3. Düzey Faaliyet Sayısı: "&amp;SUM(Düzeyler!Q13:Q24),
      "Çalışma Girilmemiş"
    )
  ),
  "Yapılacak çalışma ile Hedef uyumsuzluğu bulunmaktadır."
)</f>
        <v>Çalışma Girilmemiş</v>
      </c>
    </row>
    <row r="24" spans="1:13" ht="39.75" customHeight="1" x14ac:dyDescent="0.25">
      <c r="A24" s="34">
        <v>21</v>
      </c>
      <c r="B24" s="51" t="s">
        <v>75</v>
      </c>
      <c r="C24" s="51"/>
      <c r="D24" s="51"/>
      <c r="E24" s="51"/>
      <c r="F24" s="51"/>
      <c r="G24" s="51"/>
      <c r="H24" s="51"/>
      <c r="I24" s="51"/>
      <c r="J24" s="34" t="s">
        <v>316</v>
      </c>
      <c r="K24" s="34" t="str">
        <f>IF(J24="Alınsın",IF(M24="Özel Hedefler Genel ve Yerel Hedeflerden Farklıdır","X",""),"")</f>
        <v>X</v>
      </c>
      <c r="L24" s="34" t="str">
        <f t="shared" si="0"/>
        <v/>
      </c>
      <c r="M24" s="35" t="str">
        <f>IF(M20="Özel Hedefler Girilmiş",IF(OR('Hedef Girişi'!B4='Hedef Girişi'!B2,'Hedef Girişi'!B4='Hedef Girişi'!C2,'Hedef Girişi'!B4='Hedef Girişi'!B3,'Hedef Girişi'!B4='Hedef Girişi'!C3),"Özel Hedef 1 Değiştirilmelidir",IF(OR('Hedef Girişi'!C4='Hedef Girişi'!B2,'Hedef Girişi'!C4='Hedef Girişi'!C2,'Hedef Girişi'!C4='Hedef Girişi'!B3,'Hedef Girişi'!C4='Hedef Girişi'!C3),"Özel Hedef 2 Değiştirilmelidir","Özel Hedefler Genel ve Yerel Hedeflerden Farklıdır")),M20)</f>
        <v>Özel Hedefler Genel ve Yerel Hedeflerden Farklıdır</v>
      </c>
    </row>
    <row r="25" spans="1:13" ht="39.75" customHeight="1" x14ac:dyDescent="0.25">
      <c r="A25" s="36">
        <v>22</v>
      </c>
      <c r="B25" s="52" t="s">
        <v>76</v>
      </c>
      <c r="C25" s="52"/>
      <c r="D25" s="52"/>
      <c r="E25" s="52"/>
      <c r="F25" s="52"/>
      <c r="G25" s="52"/>
      <c r="H25" s="52"/>
      <c r="I25" s="52"/>
      <c r="J25" s="36" t="s">
        <v>316</v>
      </c>
      <c r="K25" s="36" t="str">
        <f>IF(J25="Alınsın",IF(M25="Özel Hedefler Hedef Listesinden Seçilmiştir","X",""),"")</f>
        <v>X</v>
      </c>
      <c r="L25" s="36" t="str">
        <f t="shared" si="0"/>
        <v/>
      </c>
      <c r="M25" s="37" t="str">
        <f>IF(OR('Hedef Girişi'!B12="Hedef Girişi Yapılmamış",'Hedef Girişi'!C12="Hedef Girişi Yapılmamış"),"Hatalı Özel Hedef Bulunmaktadır","Özel Hedefler Hedef Listesinden Seçilmiştir")</f>
        <v>Özel Hedefler Hedef Listesinden Seçilmiştir</v>
      </c>
    </row>
    <row r="26" spans="1:13" ht="39.75" customHeight="1" x14ac:dyDescent="0.25">
      <c r="A26" s="34">
        <v>23</v>
      </c>
      <c r="B26" s="51" t="s">
        <v>74</v>
      </c>
      <c r="C26" s="51"/>
      <c r="D26" s="51"/>
      <c r="E26" s="51"/>
      <c r="F26" s="51"/>
      <c r="G26" s="51"/>
      <c r="H26" s="51"/>
      <c r="I26" s="51"/>
      <c r="J26" s="34" t="s">
        <v>316</v>
      </c>
      <c r="K26" s="34" t="str">
        <f>IF(J26="Alınsın",IF(M26="Belirtilmiştir","X",""),"")</f>
        <v>X</v>
      </c>
      <c r="L26" s="34" t="str">
        <f t="shared" si="0"/>
        <v/>
      </c>
      <c r="M26" s="35" t="str">
        <f>IF(M20="Özel Hedefler Girilmiş","Belirtilmiştir",M20)</f>
        <v>Belirtilmiştir</v>
      </c>
    </row>
    <row r="27" spans="1:13" ht="39.75" customHeight="1" x14ac:dyDescent="0.25">
      <c r="A27" s="36">
        <v>24</v>
      </c>
      <c r="B27" s="52" t="s">
        <v>172</v>
      </c>
      <c r="C27" s="52"/>
      <c r="D27" s="52"/>
      <c r="E27" s="52"/>
      <c r="F27" s="52"/>
      <c r="G27" s="52"/>
      <c r="H27" s="52"/>
      <c r="I27" s="52"/>
      <c r="J27" s="36" t="s">
        <v>316</v>
      </c>
      <c r="K27" s="36" t="str">
        <f>IF(J27="Alınsın",IF(SUM(Düzeyler!S4:S12)&gt;=Düzeyler!AL22,"X",""),"")</f>
        <v/>
      </c>
      <c r="L27" s="36" t="str">
        <f t="shared" si="0"/>
        <v>X</v>
      </c>
      <c r="M27" s="37" t="str">
        <f ca="1">IF('Hedef Girişi'!M9=TRUE,
  IF(SUM(Düzeyler!S4:S12)&gt;0,
    "Öğrenciler İçin Toplam "&amp;SUM(Düzeyler!S4:S12)&amp;" Çalışma Girilmiş "&amp;(9-COUNTIF(Düzeyler!S4:S12,0))&amp;" Farklı Faaliyet Türünde"&amp;IF(Düzeyler!S25=0,""," --- Faaliyet Türü Girilmemiş Çalışma Sayısı: "&amp;Düzeyler!S25),
    IF(SUM(Düzeyler!S13:S24)&gt;0,
      "2. ve 3. Düzey Faaliyet Sayısı: "&amp;SUM(Düzeyler!S13:S24),
      "Çalışma Girilmemiş"
    )
  ),
  "Yapılacak çalışma ile Hedef uyumsuzluğu bulunmaktadır."
)</f>
        <v>Çalışma Girilmemiş</v>
      </c>
    </row>
    <row r="28" spans="1:13" ht="39.75" customHeight="1" x14ac:dyDescent="0.25">
      <c r="A28" s="34">
        <v>25</v>
      </c>
      <c r="B28" s="51" t="s">
        <v>174</v>
      </c>
      <c r="C28" s="51"/>
      <c r="D28" s="51"/>
      <c r="E28" s="51"/>
      <c r="F28" s="51"/>
      <c r="G28" s="51"/>
      <c r="H28" s="51"/>
      <c r="I28" s="51"/>
      <c r="J28" s="34" t="s">
        <v>316</v>
      </c>
      <c r="K28" s="34" t="str">
        <f>IF(J28="Alınsın",IF(SUM(Düzeyler!U4:U12)&gt;=Düzeyler!AN22,"X",""),"")</f>
        <v/>
      </c>
      <c r="L28" s="34" t="str">
        <f t="shared" si="0"/>
        <v>X</v>
      </c>
      <c r="M28" s="35" t="str">
        <f ca="1">IF('Hedef Girişi'!O9=TRUE,
  IF(SUM(Düzeyler!U4:U12)&gt;0,
    "Öğretmenler İçin Toplam "&amp;SUM(Düzeyler!U4:U12)&amp;" Çalışma Girilmiş "&amp;(9-COUNTIF(Düzeyler!U4:U12,0))&amp;" Farklı Faaliyet Türünde"&amp;IF(Düzeyler!U25=0,""," --- Faaliyet Türü Girilmemiş Çalışma Sayısı: "&amp;Düzeyler!U25),
    IF(SUM(Düzeyler!U13:U24)&gt;0,
      "2. ve 3. Düzey Faaliyet Sayısı: "&amp;SUM(Düzeyler!U13:U24),
      "Çalışma Girilmemiş"
    )
  ),
  "Yapılacak çalışma ile Hedef uyumsuzluğu bulunmaktadır."
)</f>
        <v>Çalışma Girilmemiş</v>
      </c>
    </row>
    <row r="29" spans="1:13" ht="39.75" customHeight="1" x14ac:dyDescent="0.25">
      <c r="A29" s="36">
        <v>26</v>
      </c>
      <c r="B29" s="52" t="s">
        <v>173</v>
      </c>
      <c r="C29" s="52"/>
      <c r="D29" s="52"/>
      <c r="E29" s="52"/>
      <c r="F29" s="52"/>
      <c r="G29" s="52"/>
      <c r="H29" s="52"/>
      <c r="I29" s="52"/>
      <c r="J29" s="36" t="s">
        <v>316</v>
      </c>
      <c r="K29" s="36" t="str">
        <f>IF(J29="Alınsın",IF(SUM(Düzeyler!T4:T12)&gt;=Düzeyler!AM22,"X",""),"")</f>
        <v/>
      </c>
      <c r="L29" s="36" t="str">
        <f t="shared" si="0"/>
        <v>X</v>
      </c>
      <c r="M29" s="37" t="str">
        <f ca="1">IF('Hedef Girişi'!N9=TRUE,
  IF(SUM(Düzeyler!T4:T12)&gt;0,
    "Veliler İçin Toplam "&amp;SUM(Düzeyler!T4:T12)&amp;" Çalışma Girilmiş "&amp;(9-COUNTIF(Düzeyler!T4:T12,0))&amp;" Farklı Faaliyet Türünde"&amp;IF(Düzeyler!T25=0,""," --- Faaliyet Türü Girilmemiş Çalışma Sayısı: "&amp;Düzeyler!T25),
    IF(SUM(Düzeyler!T13:T24)&gt;0,
      "2. ve 3. Düzey Faaliyet Sayısı: "&amp;SUM(Düzeyler!T13:T24),
      "Çalışma Girilmemiş"
    )
  ),
  "Yapılacak çalışma ile Hedef uyumsuzluğu bulunmaktadır."
)</f>
        <v>Çalışma Girilmemiş</v>
      </c>
    </row>
    <row r="30" spans="1:13" ht="39.75" customHeight="1" x14ac:dyDescent="0.25">
      <c r="A30" s="34">
        <v>27</v>
      </c>
      <c r="B30" s="51" t="s">
        <v>77</v>
      </c>
      <c r="C30" s="51"/>
      <c r="D30" s="51"/>
      <c r="E30" s="51"/>
      <c r="F30" s="51"/>
      <c r="G30" s="51"/>
      <c r="H30" s="51"/>
      <c r="I30" s="51"/>
      <c r="J30" s="34" t="s">
        <v>316</v>
      </c>
      <c r="K30" s="34" t="str">
        <f ca="1">IF(J30="Alınsın",IF(M30&lt;&gt;"Kazanımlar Uygun Seçilmemiştir","X",""),"")</f>
        <v/>
      </c>
      <c r="L30" s="34" t="str">
        <f t="shared" ca="1" si="0"/>
        <v>X</v>
      </c>
      <c r="M30" s="35" t="str">
        <f ca="1">'Hedef Listesi'!R8</f>
        <v>Kazanımlar Uygun Seçilmemiştir</v>
      </c>
    </row>
    <row r="31" spans="1:13" ht="39.75" customHeight="1" x14ac:dyDescent="0.25">
      <c r="A31" s="36">
        <v>28</v>
      </c>
      <c r="B31" s="52" t="s">
        <v>78</v>
      </c>
      <c r="C31" s="52"/>
      <c r="D31" s="52"/>
      <c r="E31" s="52"/>
      <c r="F31" s="52"/>
      <c r="G31" s="52"/>
      <c r="H31" s="52"/>
      <c r="I31" s="52"/>
      <c r="J31" s="36" t="s">
        <v>316</v>
      </c>
      <c r="K31" s="36" t="str">
        <f>IF(J31="Alınsın",IFERROR(IF(SEARCH("Yeterince çalışmaya yer verilmiş gibi görünüyor",M31)&gt;0,"X",""),""),"")</f>
        <v/>
      </c>
      <c r="L31" s="36" t="str">
        <f t="shared" si="0"/>
        <v>X</v>
      </c>
      <c r="M31" s="37" t="str">
        <f>COUNTA('Hedef Listesi'!F:F)-1&amp; " Farklı Şubeye " &amp; "Toplam "&amp; SUM('Hedef Listesi'!G:G)&amp;" Kez Yer Verilmiştir. / "&amp; IF((COUNTA('Hedef Listesi'!F:F)-1)*10&gt;SUM('Hedef Listesi'!G:G),"Sınıflar için yeterince çalışmaya verilmemiş gibi görünüyor","Yeterince çalışmaya yer verilmiş gibi görünüyor")</f>
        <v>35 Farklı Şubeye Toplam 0 Kez Yer Verilmiştir. / Sınıflar için yeterince çalışmaya verilmemiş gibi görünüyor</v>
      </c>
    </row>
    <row r="32" spans="1:13" ht="39.75" customHeight="1" x14ac:dyDescent="0.25">
      <c r="A32" s="34">
        <v>29</v>
      </c>
      <c r="B32" s="51" t="s">
        <v>79</v>
      </c>
      <c r="C32" s="51"/>
      <c r="D32" s="51"/>
      <c r="E32" s="51"/>
      <c r="F32" s="51"/>
      <c r="G32" s="51"/>
      <c r="H32" s="51"/>
      <c r="I32" s="51"/>
      <c r="J32" s="34" t="s">
        <v>316</v>
      </c>
      <c r="K32" s="34" t="str">
        <f>IF(J32="Alınsın",IF(M32="Grup Çalışmalarından Veri Girişi Yapılmıştır","X",""),"")</f>
        <v>X</v>
      </c>
      <c r="L32" s="34" t="str">
        <f t="shared" si="0"/>
        <v/>
      </c>
      <c r="M32" s="35" t="str">
        <f>IF(SunumSistemi!C3&lt;&gt;0,"Bireysel Çalışmadan Veri Girişi Yapılmıştır","Grup Çalışmalarından Veri Girişi Yapılmıştır")</f>
        <v>Grup Çalışmalarından Veri Girişi Yapılmıştır</v>
      </c>
    </row>
    <row r="33" spans="1:18" ht="39.75" customHeight="1" x14ac:dyDescent="0.25">
      <c r="A33" s="36">
        <v>30</v>
      </c>
      <c r="B33" s="52" t="s">
        <v>80</v>
      </c>
      <c r="C33" s="52"/>
      <c r="D33" s="52"/>
      <c r="E33" s="52"/>
      <c r="F33" s="52"/>
      <c r="G33" s="52"/>
      <c r="H33" s="52"/>
      <c r="I33" s="52"/>
      <c r="J33" s="36" t="s">
        <v>316</v>
      </c>
      <c r="K33" s="36" t="str">
        <f>IF(J33="Alınsın",IF(M33="Grup Çalışmalarından Veri Girişi Yapılmıştır","X",""),"")</f>
        <v>X</v>
      </c>
      <c r="L33" s="36" t="str">
        <f t="shared" si="0"/>
        <v/>
      </c>
      <c r="M33" s="37" t="str">
        <f>IF(SunumSistemi!C3&lt;&gt;0,"Bireysel Çalışmadan Veri Girişi Yapılmıştır","Grup Çalışmalarından Veri Girişi Yapılmıştır")</f>
        <v>Grup Çalışmalarından Veri Girişi Yapılmıştır</v>
      </c>
    </row>
    <row r="34" spans="1:18" ht="39.75" customHeight="1" x14ac:dyDescent="0.25">
      <c r="A34" s="34">
        <v>31</v>
      </c>
      <c r="B34" s="51" t="s">
        <v>81</v>
      </c>
      <c r="C34" s="51"/>
      <c r="D34" s="51"/>
      <c r="E34" s="51"/>
      <c r="F34" s="51"/>
      <c r="G34" s="51"/>
      <c r="H34" s="51"/>
      <c r="I34" s="51"/>
      <c r="J34" s="34" t="s">
        <v>316</v>
      </c>
      <c r="K34" s="34" t="str">
        <f>IF(J34="Alınsın",IF(LEFT(M34,21)="Grup Çalışmalarından ","X",""),"")</f>
        <v>X</v>
      </c>
      <c r="L34" s="34" t="str">
        <f t="shared" si="0"/>
        <v/>
      </c>
      <c r="M34" s="35" t="str">
        <f>IF(SunumSistemi!C3&lt;&gt;0,"Bireysel Çalışmadan Veri Girişi Yapılmıştır","Grup Çalışmalarından "&amp;SunumSistemi!H4&amp;" Adet Veri Girişi Yapılmıştır")</f>
        <v>Grup Çalışmalarından 0 Adet Veri Girişi Yapılmıştır</v>
      </c>
    </row>
    <row r="35" spans="1:18" ht="39.75" customHeight="1" x14ac:dyDescent="0.25">
      <c r="A35" s="36">
        <v>32</v>
      </c>
      <c r="B35" s="52" t="s">
        <v>82</v>
      </c>
      <c r="C35" s="52"/>
      <c r="D35" s="52"/>
      <c r="E35" s="52"/>
      <c r="F35" s="52"/>
      <c r="G35" s="52"/>
      <c r="H35" s="52"/>
      <c r="I35" s="52"/>
      <c r="J35" s="41" t="s">
        <v>316</v>
      </c>
      <c r="K35" s="36" t="str">
        <f>IF(J35="Alınsın",IF(LEFT(M35,21)="Grup Çalışmalarından ","X",""),"")</f>
        <v>X</v>
      </c>
      <c r="L35" s="36" t="str">
        <f t="shared" si="0"/>
        <v/>
      </c>
      <c r="M35" s="37" t="str">
        <f>IF(SunumSistemi!C3&lt;&gt;0,"Bireysel Çalışmadan Veri Girişi Yapılmıştır","Grup Çalışmalarından "&amp;SunumSistemi!H3&amp;" Adet Veri Girişi Yapılmıştır")</f>
        <v>Grup Çalışmalarından 0 Adet Veri Girişi Yapılmıştır</v>
      </c>
    </row>
    <row r="36" spans="1:18" ht="39.75" customHeight="1" x14ac:dyDescent="0.25">
      <c r="A36" s="34">
        <v>33</v>
      </c>
      <c r="B36" s="51" t="s">
        <v>83</v>
      </c>
      <c r="C36" s="51"/>
      <c r="D36" s="51"/>
      <c r="E36" s="51"/>
      <c r="F36" s="51"/>
      <c r="G36" s="51"/>
      <c r="H36" s="51"/>
      <c r="I36" s="51"/>
      <c r="J36" s="34" t="s">
        <v>316</v>
      </c>
      <c r="K36" s="34" t="str">
        <f>IF(J36="Alınsın",IF(M36="Mayıs Ayına RİBA Uygulaması Eklenmiştir","X",""),"")</f>
        <v/>
      </c>
      <c r="L36" s="34" t="str">
        <f t="shared" si="0"/>
        <v>X</v>
      </c>
      <c r="M36" s="35" t="str">
        <f>IF(NOT(ISERROR(MONTH(VLOOKUP("*RİBA*Uygulama",PlanAktarılacakSayfa!C:E,3,FALSE))=5)),IF(IF(COUNTIF(PlanAktarılacakSayfa!C:E,"*RİBA*Veli*Uygulama*")&gt;=1,1,0)+IF(COUNTIF(PlanAktarılacakSayfa!C:E,"*RİBA*Öğrenci*Uygulama*")&gt;=1,1,IF(Düzeyler!W26="Evet",1,0))+IF(COUNTIF(PlanAktarılacakSayfa!C:E,"*RİBA*Öğretmen*Uygulama*")&gt;=1,1,0)&lt;3,"Mayıs Ayına RİBA Uygulaması Eklenmiştir Fakat Veli, Öğretmen yada Öğrenciden Yer Verilmeyen Bulunmaktadır","Mayıs Ayına RİBA Uygulaması Eklenmiştir"),"Mayıs Ayı RİBA Uygulaması Eksik")</f>
        <v>Mayıs Ayı RİBA Uygulaması Eksik</v>
      </c>
      <c r="R36" s="43"/>
    </row>
    <row r="37" spans="1:18" ht="39.75" customHeight="1" x14ac:dyDescent="0.25">
      <c r="A37" s="36">
        <v>34</v>
      </c>
      <c r="B37" s="52" t="s">
        <v>315</v>
      </c>
      <c r="C37" s="52"/>
      <c r="D37" s="52"/>
      <c r="E37" s="52"/>
      <c r="F37" s="52"/>
      <c r="G37" s="52"/>
      <c r="H37" s="52"/>
      <c r="I37" s="52"/>
      <c r="J37" s="36" t="s">
        <v>316</v>
      </c>
      <c r="K37" s="36" t="str">
        <f ca="1">IF(J37="Alınsın",IF(M37="SRP Rehber Öğretmen Etkinliğine Yer Verilmiştir","X",""),"")</f>
        <v/>
      </c>
      <c r="L37" s="36" t="str">
        <f t="shared" ca="1" si="0"/>
        <v>X</v>
      </c>
      <c r="M37" s="37" t="str">
        <f ca="1">'Hedef Listesi'!D9</f>
        <v>SRP Rehber Öğretmen Etkinliğine Eksik veya Hiç Yer Verilmemiş</v>
      </c>
    </row>
    <row r="38" spans="1:18" ht="39.75" customHeight="1" x14ac:dyDescent="0.25">
      <c r="A38" s="34">
        <v>35</v>
      </c>
      <c r="B38" s="51" t="s">
        <v>1083</v>
      </c>
      <c r="C38" s="51"/>
      <c r="D38" s="51"/>
      <c r="E38" s="51"/>
      <c r="F38" s="51"/>
      <c r="G38" s="51"/>
      <c r="H38" s="51"/>
      <c r="I38" s="51"/>
      <c r="J38" s="34" t="s">
        <v>316</v>
      </c>
      <c r="K38" s="34" t="str">
        <f>IF(J38="Alınsın",IF(M38&lt;&gt;"Hiç çalışma planlanmamış","X",""),"")</f>
        <v/>
      </c>
      <c r="L38" s="34" t="str">
        <f>IF(J38="Alınmasın","",IF(K38="X","","X"))</f>
        <v>X</v>
      </c>
      <c r="M38" s="35" t="str">
        <f>IF(SUM(SunumSistemi!K3:N3)=0,"Hiç çalışma planlanmamış",CONCATENATE(IF(SunumSistemi!K3&gt;0,"Öğrenciler İçin: "&amp;SunumSistemi!K3,""),IF(SunumSistemi!L3&gt;0,", Veliler İçin: "&amp;SunumSistemi!L3,""),IF(SunumSistemi!M3&gt;0,", Öğretmenler İçin: "&amp;SunumSistemi!M3,""),IF(SunumSistemi!N3&gt;0,"Diğer Kişiler İçin: "&amp;SunumSistemi!N3,"")," adet çalışma planlanmıştır."))</f>
        <v>Hiç çalışma planlanmamış</v>
      </c>
    </row>
    <row r="39" spans="1:18" ht="39.75" customHeight="1" x14ac:dyDescent="0.25">
      <c r="A39" s="36">
        <v>36</v>
      </c>
      <c r="B39" s="52" t="s">
        <v>1084</v>
      </c>
      <c r="C39" s="52"/>
      <c r="D39" s="52"/>
      <c r="E39" s="52"/>
      <c r="F39" s="52"/>
      <c r="G39" s="52"/>
      <c r="H39" s="52"/>
      <c r="I39" s="52"/>
      <c r="J39" s="41" t="s">
        <v>316</v>
      </c>
      <c r="K39" s="36" t="str">
        <f>IF(J39="Alınsın",IF(M39&lt;&gt;"Hiç çalışma planlanmamış","X",""),"")</f>
        <v/>
      </c>
      <c r="L39" s="36" t="str">
        <f>IF(J39="Alınmasın","",IF(K39="X","","X"))</f>
        <v>X</v>
      </c>
      <c r="M39" s="37" t="str">
        <f>IF(SUM(SunumSistemi!O3:R3)=0,"Hiç çalışma planlanmamış",CONCATENATE(IF(SunumSistemi!O3&gt;0,"Öğrenciler İçin: "&amp;SunumSistemi!O3,""),IF(SunumSistemi!P3&gt;0,", Veliler İçin: "&amp;SunumSistemi!P3,""),IF(SunumSistemi!Q3&gt;0,", Öğretmenler İçin: "&amp;SunumSistemi!Q3,""),IF(SunumSistemi!R3&gt;0,"Diğer Kişiler İçin: "&amp;SunumSistemi!R3,"")," adet çalışma planlanmıştır."))</f>
        <v>Hiç çalışma planlanmamış</v>
      </c>
    </row>
  </sheetData>
  <sheetProtection algorithmName="SHA-512" hashValue="JtqanD9uDzVZF1039V28t+ftJ7HH8/7VYUNM/MsQ1o+ymKoU9O4TWz4+L3yq1t9m1XyVprcGjhXHSMIJC/FH5A==" saltValue="HRPMvWJuV71I6fLC6fj/Eg==" spinCount="100000" sheet="1" objects="1" scenarios="1"/>
  <protectedRanges>
    <protectedRange sqref="J4:J39" name="Aralık1"/>
  </protectedRanges>
  <mergeCells count="38">
    <mergeCell ref="B19:I19"/>
    <mergeCell ref="B12:I12"/>
    <mergeCell ref="B30:I30"/>
    <mergeCell ref="B31:I31"/>
    <mergeCell ref="B32:I32"/>
    <mergeCell ref="B21:I21"/>
    <mergeCell ref="B17:I17"/>
    <mergeCell ref="B18:I18"/>
    <mergeCell ref="B25:I25"/>
    <mergeCell ref="B26:I26"/>
    <mergeCell ref="B27:I27"/>
    <mergeCell ref="B28:I28"/>
    <mergeCell ref="B29:I29"/>
    <mergeCell ref="B9:I9"/>
    <mergeCell ref="B10:I10"/>
    <mergeCell ref="B11:I11"/>
    <mergeCell ref="B16:I16"/>
    <mergeCell ref="B3:I3"/>
    <mergeCell ref="B4:I4"/>
    <mergeCell ref="B5:I5"/>
    <mergeCell ref="B6:I6"/>
    <mergeCell ref="B7:I7"/>
    <mergeCell ref="B38:I38"/>
    <mergeCell ref="B39:I39"/>
    <mergeCell ref="A1:M2"/>
    <mergeCell ref="B34:I34"/>
    <mergeCell ref="B35:I35"/>
    <mergeCell ref="B36:I36"/>
    <mergeCell ref="B37:I37"/>
    <mergeCell ref="B13:I13"/>
    <mergeCell ref="B14:I14"/>
    <mergeCell ref="B15:I15"/>
    <mergeCell ref="B20:I20"/>
    <mergeCell ref="B33:I33"/>
    <mergeCell ref="B22:I22"/>
    <mergeCell ref="B23:I23"/>
    <mergeCell ref="B24:I24"/>
    <mergeCell ref="B8:I8"/>
  </mergeCells>
  <dataValidations count="1">
    <dataValidation type="list" allowBlank="1" showInputMessage="1" showErrorMessage="1" sqref="J4:J39">
      <formula1>"Alınsın,Alınmasın"</formula1>
    </dataValidation>
  </dataValidations>
  <printOptions horizontalCentered="1"/>
  <pageMargins left="0.25" right="0.25" top="0.41822916666666665" bottom="0.37" header="0.17" footer="0.18"/>
  <pageSetup paperSize="9" scale="53" fitToHeight="0" orientation="portrait" r:id="rId1"/>
  <headerFooter>
    <oddFooter>&amp;R&amp;"Calibri,Kalın"&amp;10Bu değerlendirme onlinepdr.com'un katkılarıyla yapılmıştır.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B2:B7"/>
  <sheetViews>
    <sheetView workbookViewId="0">
      <selection activeCell="B2" sqref="B2:B7"/>
    </sheetView>
  </sheetViews>
  <sheetFormatPr defaultRowHeight="15" x14ac:dyDescent="0.25"/>
  <cols>
    <col min="1" max="1" width="29.85546875" customWidth="1"/>
  </cols>
  <sheetData>
    <row r="2" spans="2:2" x14ac:dyDescent="0.25">
      <c r="B2" t="s">
        <v>1093</v>
      </c>
    </row>
    <row r="3" spans="2:2" x14ac:dyDescent="0.25">
      <c r="B3" t="s">
        <v>1097</v>
      </c>
    </row>
    <row r="4" spans="2:2" x14ac:dyDescent="0.25">
      <c r="B4" t="s">
        <v>1094</v>
      </c>
    </row>
    <row r="5" spans="2:2" x14ac:dyDescent="0.25">
      <c r="B5" t="s">
        <v>1096</v>
      </c>
    </row>
    <row r="6" spans="2:2" x14ac:dyDescent="0.25">
      <c r="B6" t="s">
        <v>1098</v>
      </c>
    </row>
    <row r="7" spans="2:2" x14ac:dyDescent="0.25">
      <c r="B7" t="s">
        <v>1095</v>
      </c>
    </row>
  </sheetData>
  <sortState ref="B3:B7">
    <sortCondition ref="B3:B7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O99"/>
  <sheetViews>
    <sheetView topLeftCell="B1" workbookViewId="0">
      <selection activeCell="K23" sqref="K23"/>
    </sheetView>
  </sheetViews>
  <sheetFormatPr defaultColWidth="9.140625" defaultRowHeight="15" x14ac:dyDescent="0.25"/>
  <cols>
    <col min="1" max="1" width="15.42578125" style="2" customWidth="1"/>
    <col min="2" max="2" width="57.42578125" customWidth="1"/>
    <col min="3" max="3" width="69.140625" style="2" customWidth="1"/>
    <col min="4" max="4" width="3.7109375" style="2" customWidth="1"/>
    <col min="5" max="5" width="17.5703125" style="2" customWidth="1"/>
    <col min="6" max="6" width="25.28515625" style="2" customWidth="1"/>
    <col min="7" max="7" width="10" style="2" customWidth="1"/>
    <col min="8" max="8" width="12" style="2" customWidth="1"/>
    <col min="9" max="9" width="12.5703125" style="2" customWidth="1"/>
    <col min="10" max="10" width="10.28515625" style="2" customWidth="1"/>
    <col min="11" max="11" width="11.140625" style="2" customWidth="1"/>
    <col min="12" max="12" width="11.5703125" style="2" customWidth="1"/>
    <col min="13" max="16384" width="9.140625" style="2"/>
  </cols>
  <sheetData>
    <row r="1" spans="1:15" ht="24" customHeight="1" x14ac:dyDescent="0.25">
      <c r="A1" s="6" t="s">
        <v>19</v>
      </c>
      <c r="B1" s="7" t="s">
        <v>17</v>
      </c>
      <c r="C1" s="8" t="s">
        <v>18</v>
      </c>
      <c r="E1" s="45"/>
      <c r="F1" s="45"/>
      <c r="G1" s="55" t="s">
        <v>312</v>
      </c>
      <c r="H1" s="55"/>
      <c r="I1" s="55"/>
      <c r="J1" s="55" t="s">
        <v>313</v>
      </c>
      <c r="K1" s="55"/>
      <c r="L1" s="55"/>
      <c r="M1" s="55" t="s">
        <v>314</v>
      </c>
      <c r="N1" s="55"/>
      <c r="O1" s="55"/>
    </row>
    <row r="2" spans="1:15" ht="24" customHeight="1" x14ac:dyDescent="0.25">
      <c r="A2" s="4" t="s">
        <v>14</v>
      </c>
      <c r="B2" s="3" t="s">
        <v>1097</v>
      </c>
      <c r="C2" s="5"/>
      <c r="E2" s="45"/>
      <c r="F2" s="45"/>
      <c r="G2" s="45" t="s">
        <v>93</v>
      </c>
      <c r="H2" s="45" t="s">
        <v>94</v>
      </c>
      <c r="I2" s="45" t="s">
        <v>95</v>
      </c>
      <c r="J2" s="45" t="s">
        <v>93</v>
      </c>
      <c r="K2" s="45" t="s">
        <v>94</v>
      </c>
      <c r="L2" s="45" t="s">
        <v>95</v>
      </c>
      <c r="M2" s="45" t="s">
        <v>93</v>
      </c>
      <c r="N2" s="45" t="s">
        <v>94</v>
      </c>
      <c r="O2" s="45" t="s">
        <v>95</v>
      </c>
    </row>
    <row r="3" spans="1:15" ht="24" customHeight="1" x14ac:dyDescent="0.25">
      <c r="A3" s="4" t="s">
        <v>15</v>
      </c>
      <c r="B3" s="3" t="s">
        <v>1095</v>
      </c>
      <c r="C3" s="5"/>
      <c r="E3" s="45"/>
      <c r="F3" s="45"/>
      <c r="G3" s="45"/>
      <c r="H3" s="45" t="s">
        <v>96</v>
      </c>
      <c r="I3" s="45" t="s">
        <v>97</v>
      </c>
      <c r="J3" s="45" t="s">
        <v>1080</v>
      </c>
      <c r="K3" s="45" t="s">
        <v>96</v>
      </c>
      <c r="L3" s="45" t="s">
        <v>97</v>
      </c>
      <c r="M3" s="45"/>
      <c r="N3" s="45" t="s">
        <v>96</v>
      </c>
      <c r="O3" s="45" t="s">
        <v>97</v>
      </c>
    </row>
    <row r="4" spans="1:15" ht="24" customHeight="1" x14ac:dyDescent="0.25">
      <c r="A4" s="9" t="s">
        <v>16</v>
      </c>
      <c r="B4" s="10" t="s">
        <v>1096</v>
      </c>
      <c r="C4" s="11" t="s">
        <v>1098</v>
      </c>
      <c r="E4" s="45" t="s">
        <v>14</v>
      </c>
      <c r="F4" s="45" t="str">
        <f>IFERROR(RIGHT(B2,LEN(B2)-SEARCH("-",B2)-1),"")</f>
        <v>Aile İçi İletişim-Çocuk Hakları ve Çocuk Kıymeti</v>
      </c>
      <c r="G4" s="45">
        <f>IF($F4="","",COUNTIFS(PlanAktarılacakSayfa!$G:$G,"*"&amp;$F4)-H4-I4)</f>
        <v>0</v>
      </c>
      <c r="H4" s="45">
        <f>IF($F4="","",COUNTIFS(PlanAktarılacakSayfa!$G:$G,"*"&amp;$F4,PlanAktarılacakSayfa!$C:$C,H$3))</f>
        <v>0</v>
      </c>
      <c r="I4" s="45">
        <f>IF($F4="","",COUNTIFS(PlanAktarılacakSayfa!$G:$G,"*"&amp;$F4,PlanAktarılacakSayfa!$C:$C,I$3))</f>
        <v>0</v>
      </c>
      <c r="J4" s="45">
        <f ca="1">IF($F4="","",IF($B6="Aile İçi İletişim-Çocuk Hakları ve Çocuk Kıymeti",
   COUNTIFS(PlanAktarılacakSayfa!$C:$C,"*Aile İçi İletişim*",PlanAktarılacakSayfa!$C:$C,J$3) +
   COUNTIFS(PlanAktarılacakSayfa!$C:$C,"*Çocuk Hakları ve Çocuk Kıymeti*",PlanAktarılacakSayfa!$C:$C,J$3),
   COUNTIFS(PlanAktarılacakSayfa!$C:$C,"*"&amp;INDIRECT("'Hedef Listesi'!U"&amp;MATCH($B6,'Hedef Listesi'!$C:$C,0)),PlanAktarılacakSayfa!$C:$C,J$3)
))</f>
        <v>0</v>
      </c>
      <c r="K4" s="45">
        <f ca="1">IF($F4="","",IF($B6="Aile İçi İletişim-Çocuk Hakları ve Çocuk Kıymeti",
   COUNTIFS(PlanAktarılacakSayfa!$C:$C,"*Aile İçi İletişim*",PlanAktarılacakSayfa!$C:$C,K$3) +
   COUNTIFS(PlanAktarılacakSayfa!$C:$C,"*Çocuk Hakları ve Çocuk Kıymeti*",PlanAktarılacakSayfa!$C:$C,K$3),
   COUNTIFS(PlanAktarılacakSayfa!$C:$C,"*"&amp;INDIRECT("'Hedef Listesi'!V"&amp;MATCH($B6,'Hedef Listesi'!$C:$C,0)),PlanAktarılacakSayfa!$C:$C,K$3)
))</f>
        <v>0</v>
      </c>
      <c r="L4" s="45">
        <f ca="1">IF($F4="","",IF($B6="Aile İçi İletişim-Çocuk Hakları ve Çocuk Kıymeti",
   COUNTIFS(PlanAktarılacakSayfa!$C:$C,"*Aile İçi İletişim*",PlanAktarılacakSayfa!$C:$C,L$3) +
   COUNTIFS(PlanAktarılacakSayfa!$C:$C,"*Çocuk Hakları ve Çocuk Kıymeti*",PlanAktarılacakSayfa!$C:$C,L$3),
   COUNTIFS(PlanAktarılacakSayfa!$C:$C,"*"&amp;INDIRECT("'Hedef Listesi'!W"&amp;MATCH($B6,'Hedef Listesi'!$C:$C,0)),PlanAktarılacakSayfa!$C:$C,L$3)
))</f>
        <v>0</v>
      </c>
      <c r="M4" s="45" t="b">
        <f ca="1">IF(Düzeyler!W22=0,TRUE,IF(AND(G4&gt;=Düzeyler!W22,'Hedef Girişi'!J4&gt;=Düzeyler!W22),TRUE,EXACT(G4,J4)))</f>
        <v>1</v>
      </c>
      <c r="N4" s="45" t="b">
        <f ca="1">IF(Düzeyler!X22=0,TRUE,IF(AND(H4&gt;=Düzeyler!X22,'Hedef Girişi'!K4&gt;=Düzeyler!X22),TRUE,EXACT(H4,K4)))</f>
        <v>1</v>
      </c>
      <c r="O4" s="45" t="b">
        <f ca="1">IF(Düzeyler!Y22=0,TRUE,IF(AND(I4&gt;=Düzeyler!Y22,'Hedef Girişi'!L4&gt;=Düzeyler!Y22),TRUE,EXACT(I4,L4)))</f>
        <v>1</v>
      </c>
    </row>
    <row r="5" spans="1:15" x14ac:dyDescent="0.25">
      <c r="E5" s="45" t="s">
        <v>88</v>
      </c>
      <c r="F5" s="45" t="str">
        <f>IFERROR(RIGHT(C2,LEN(C2)-SEARCH("-",C2)-1),"")</f>
        <v/>
      </c>
      <c r="G5" s="45" t="str">
        <f>IF($F5="","",COUNTIFS(PlanAktarılacakSayfa!$G:$G,"*"&amp;$F5)-H5-I5)</f>
        <v/>
      </c>
      <c r="H5" s="45" t="str">
        <f>IF($F5="","",COUNTIFS(PlanAktarılacakSayfa!$G:$G,"*"&amp;$F5,PlanAktarılacakSayfa!$C:$C,H$3))</f>
        <v/>
      </c>
      <c r="I5" s="45" t="str">
        <f>IF($F5="","",COUNTIFS(PlanAktarılacakSayfa!$G:$G,"*"&amp;$F5,PlanAktarılacakSayfa!$C:$C,I$3))</f>
        <v/>
      </c>
      <c r="J5" s="45" t="str" cm="1">
        <f t="array" aca="1" ref="J5" ca="1">IF($F5="","",COUNTIFS(PlanAktarılacakSayfa!$C:$C,"*"&amp;INDIRECT("'Hedef Listesi'!U"&amp;MATCH($B7,'Hedef Listesi'!$C:$C,0)),PlanAktarılacakSayfa!$C:$C,J$3))</f>
        <v/>
      </c>
      <c r="K5" s="45" t="str" cm="1">
        <f t="array" aca="1" ref="K5" ca="1">IF($F5="","",COUNTIFS(PlanAktarılacakSayfa!$C:$C,"*"&amp;INDIRECT("'Hedef Listesi'!V"&amp;MATCH($B7,'Hedef Listesi'!$C:$C,0)),PlanAktarılacakSayfa!$C:$C,K$3))</f>
        <v/>
      </c>
      <c r="L5" s="45" t="str" cm="1">
        <f t="array" aca="1" ref="L5" ca="1">IF($F5="","",COUNTIFS(PlanAktarılacakSayfa!$C:$C,"*"&amp;INDIRECT("'Hedef Listesi'!W"&amp;MATCH($B7,'Hedef Listesi'!$C:$C,0)),PlanAktarılacakSayfa!$C:$C,L$3))</f>
        <v/>
      </c>
      <c r="M5" s="45" t="b">
        <f>IF(Düzeyler!Z22=0,TRUE,IF(AND(G5&gt;=Düzeyler!Z22,'Hedef Girişi'!J5&gt;=Düzeyler!Z22),TRUE,EXACT(G5,J5)))</f>
        <v>1</v>
      </c>
      <c r="N5" s="45" t="b">
        <f>IF(Düzeyler!AA22=0,TRUE,IF(AND(H5&gt;=Düzeyler!AA22,'Hedef Girişi'!K5&gt;=Düzeyler!AA22),TRUE,EXACT(H5,K5)))</f>
        <v>1</v>
      </c>
      <c r="O5" s="45" t="b">
        <f>IF(Düzeyler!AB22=0,TRUE,IF(AND(I5&gt;=Düzeyler!AB22,'Hedef Girişi'!L5&gt;=Düzeyler!AB22),TRUE,EXACT(I5,L5)))</f>
        <v>1</v>
      </c>
    </row>
    <row r="6" spans="1:15" x14ac:dyDescent="0.25">
      <c r="A6" s="28" t="s">
        <v>87</v>
      </c>
      <c r="B6" s="1" t="s">
        <v>370</v>
      </c>
      <c r="C6" s="16" t="str">
        <f>IF(OR(B2=UPPER(A2&amp;A2)&amp;" - "&amp;B6,B2=UPPER(A2)&amp;" - "&amp;B6),"Genel Hedef Doğru Girilmiş","Genel Hedef Yanlış Girilmiş")</f>
        <v>Genel Hedef Doğru Girilmiş</v>
      </c>
      <c r="E6" s="45" t="s">
        <v>15</v>
      </c>
      <c r="F6" s="45" t="str">
        <f>IFERROR(RIGHT(B3,LEN(B3)-SEARCH("-",B3)-1),"")</f>
        <v>Akran Zorbalığı</v>
      </c>
      <c r="G6" s="45">
        <f>IF($F6="","",COUNTIFS(PlanAktarılacakSayfa!$G:$G,"*"&amp;$F6)-H6-I6)</f>
        <v>0</v>
      </c>
      <c r="H6" s="45">
        <f>IF($F6="","",COUNTIFS(PlanAktarılacakSayfa!$G:$G,"*"&amp;$F6,PlanAktarılacakSayfa!$C:$C,H$3))</f>
        <v>0</v>
      </c>
      <c r="I6" s="45">
        <f>IF($F6="","",COUNTIFS(PlanAktarılacakSayfa!$G:$G,"*"&amp;$F6,PlanAktarılacakSayfa!$C:$C,I$3))</f>
        <v>0</v>
      </c>
      <c r="J6" s="45" cm="1">
        <f t="array" aca="1" ref="J6" ca="1">IF($F6="","",COUNTIFS(PlanAktarılacakSayfa!$C:$C,"*"&amp;INDIRECT("'Hedef Listesi'!U"&amp;MATCH($B15,'Hedef Listesi'!$C:$C,0)),PlanAktarılacakSayfa!$C:$C,J$3))</f>
        <v>0</v>
      </c>
      <c r="K6" s="45" cm="1">
        <f t="array" aca="1" ref="K6" ca="1">IF($F6="","",COUNTIFS(PlanAktarılacakSayfa!$C:$C,"*"&amp;INDIRECT("'Hedef Listesi'!V"&amp;MATCH($B15,'Hedef Listesi'!$C:$C,0)),PlanAktarılacakSayfa!$C:$C,K$3))</f>
        <v>0</v>
      </c>
      <c r="L6" s="45" cm="1">
        <f t="array" aca="1" ref="L6" ca="1">IF($F6="","",COUNTIFS(PlanAktarılacakSayfa!$C:$C,"*"&amp;INDIRECT("'Hedef Listesi'!W"&amp;MATCH($B15,'Hedef Listesi'!$C:$C,0)),PlanAktarılacakSayfa!$C:$C,L$3))</f>
        <v>0</v>
      </c>
      <c r="M6" s="45" t="b">
        <f ca="1">IF(Düzeyler!AC$22=0,TRUE,IF(AND(G6&gt;=Düzeyler!AC$22,'Hedef Girişi'!J6&gt;=Düzeyler!AC$22),TRUE,EXACT(G6,J6)))</f>
        <v>1</v>
      </c>
      <c r="N6" s="45" t="b">
        <f ca="1">IF(Düzeyler!AD22=0,TRUE,IF(AND(H6&gt;=Düzeyler!AD22,'Hedef Girişi'!K6&gt;=Düzeyler!AD22),TRUE,EXACT(H6,K6)))</f>
        <v>1</v>
      </c>
      <c r="O6" s="45" t="b">
        <f ca="1">IF(Düzeyler!AE22=0,TRUE,IF(AND(I6&gt;=Düzeyler!AE22,'Hedef Girişi'!L6&gt;=Düzeyler!AE22),TRUE,EXACT(I6,L6)))</f>
        <v>1</v>
      </c>
    </row>
    <row r="7" spans="1:15" x14ac:dyDescent="0.25">
      <c r="A7" s="28" t="s">
        <v>88</v>
      </c>
      <c r="C7" s="2" t="str">
        <f>IF(OR(C2=UPPER(A2&amp;A2)&amp;" - "&amp;B7,C2=UPPER(A2)&amp;" - "&amp;B7),"2. Genel Hedef Doğru Girilmiş",IF(C2=B7,"2. Genel Hedef Doğru Girilmiş","2 Genel Hedef Yanlış Girilmiş"))</f>
        <v>2. Genel Hedef Doğru Girilmiş</v>
      </c>
      <c r="E7" s="45" t="s">
        <v>311</v>
      </c>
      <c r="F7" s="45" t="str">
        <f>IFERROR(RIGHT(C3,LEN(C3)-SEARCH("-",C3)-1),"")</f>
        <v/>
      </c>
      <c r="G7" s="45" t="str">
        <f>IF($F7="","",COUNTIFS(PlanAktarılacakSayfa!$G:$G,"*"&amp;$F7)-H7-I7)</f>
        <v/>
      </c>
      <c r="H7" s="45" t="str">
        <f>IF($F7="","",COUNTIFS(PlanAktarılacakSayfa!$G:$G,"*"&amp;$F7,PlanAktarılacakSayfa!$C:$C,H$3))</f>
        <v/>
      </c>
      <c r="I7" s="45" t="str">
        <f>IF($F7="","",COUNTIFS(PlanAktarılacakSayfa!$G:$G,"*"&amp;$F7,PlanAktarılacakSayfa!$C:$C,I$3))</f>
        <v/>
      </c>
      <c r="J7" s="45" t="str" cm="1">
        <f t="array" aca="1" ref="J7" ca="1">IF($F7="","",COUNTIFS(PlanAktarılacakSayfa!$C:$C,"*"&amp;INDIRECT("'Hedef Listesi'!U"&amp;MATCH($B16,'Hedef Listesi'!$C:$C,0)),PlanAktarılacakSayfa!$C:$C,J$3))</f>
        <v/>
      </c>
      <c r="K7" s="45" t="str" cm="1">
        <f t="array" aca="1" ref="K7" ca="1">IF($F7="","",COUNTIFS(PlanAktarılacakSayfa!$C:$C,"*"&amp;INDIRECT("'Hedef Listesi'!V"&amp;MATCH($B16,'Hedef Listesi'!$C:$C,0)),PlanAktarılacakSayfa!$C:$C,K$3))</f>
        <v/>
      </c>
      <c r="L7" s="45" t="str" cm="1">
        <f t="array" aca="1" ref="L7" ca="1">IF($F7="","",COUNTIFS(PlanAktarılacakSayfa!$C:$C,"*"&amp;INDIRECT("'Hedef Listesi'!W"&amp;MATCH($B16,'Hedef Listesi'!$C:$C,0)),PlanAktarılacakSayfa!$C:$C,L$3))</f>
        <v/>
      </c>
      <c r="M7" s="45" t="b">
        <f>IF(Düzeyler!AF$22=0,TRUE,IF(AND(G7&gt;=Düzeyler!AF$22,'Hedef Girişi'!J7&gt;=Düzeyler!AF$22),TRUE,EXACT(G7,J7)))</f>
        <v>1</v>
      </c>
      <c r="N7" s="45" t="b">
        <f>IF(Düzeyler!AG$22=0,TRUE,IF(AND(H7&gt;=Düzeyler!AG$22,'Hedef Girişi'!K7&gt;=Düzeyler!AG$22),TRUE,EXACT(H7,K7)))</f>
        <v>1</v>
      </c>
      <c r="O7" s="45" t="b">
        <f>IF(Düzeyler!AH$22=0,TRUE,IF(AND(I7&gt;=Düzeyler!AH$22,'Hedef Girişi'!L7&gt;=Düzeyler!AH$22),TRUE,EXACT(I7,L7)))</f>
        <v>1</v>
      </c>
    </row>
    <row r="8" spans="1:15" x14ac:dyDescent="0.25">
      <c r="E8" s="45" t="s">
        <v>91</v>
      </c>
      <c r="F8" s="45" t="str">
        <f>IFERROR(RIGHT(B4,LEN(B4)-SEARCH("-",B4)-1),"")</f>
        <v>Karar Verme Becerisi</v>
      </c>
      <c r="G8" s="45">
        <f>IF($F8="","",COUNTIFS(PlanAktarılacakSayfa!$G:$G,"*"&amp;$F8)-H8-I8)</f>
        <v>0</v>
      </c>
      <c r="H8" s="45">
        <f>IF($F8="","",COUNTIFS(PlanAktarılacakSayfa!$G:$G,"*"&amp;$F8,PlanAktarılacakSayfa!$C:$C,H$3))</f>
        <v>0</v>
      </c>
      <c r="I8" s="45">
        <f>IF($F8="","",COUNTIFS(PlanAktarılacakSayfa!$G:$G,"*"&amp;$F8,PlanAktarılacakSayfa!$C:$C,I$3))</f>
        <v>0</v>
      </c>
      <c r="J8" s="45" cm="1">
        <f t="array" aca="1" ref="J8" ca="1">IF($F8="","",COUNTIFS(PlanAktarılacakSayfa!$C:$C,"*"&amp;INDIRECT("'Hedef Listesi'!U"&amp;MATCH($F8,'Hedef Listesi'!$C:$C,0)),PlanAktarılacakSayfa!$C:$C,J$3))</f>
        <v>0</v>
      </c>
      <c r="K8" s="45" cm="1">
        <f t="array" aca="1" ref="K8" ca="1">IF($F8="","",COUNTIFS(PlanAktarılacakSayfa!$C:$C,"*"&amp;INDIRECT("'Hedef Listesi'!V"&amp;MATCH($F8,'Hedef Listesi'!$C:$C,0)),PlanAktarılacakSayfa!$C:$C,K$3))</f>
        <v>0</v>
      </c>
      <c r="L8" s="45" cm="1">
        <f t="array" aca="1" ref="L8" ca="1">IF($F8="","",COUNTIFS(PlanAktarılacakSayfa!$C:$C,"*"&amp;INDIRECT("'Hedef Listesi'!W"&amp;MATCH($F8,'Hedef Listesi'!$C:$C,0)),PlanAktarılacakSayfa!$C:$C,L$3))</f>
        <v>0</v>
      </c>
      <c r="M8" s="45" t="b">
        <f ca="1">IF(Düzeyler!AI$22=0,TRUE,IF(AND(G8&gt;=Düzeyler!AI$22,'Hedef Girişi'!J8&gt;=Düzeyler!AI$22),TRUE,EXACT(G8,J8)))</f>
        <v>1</v>
      </c>
      <c r="N8" s="45" t="b">
        <f ca="1">IF(Düzeyler!AJ$22=0,TRUE,IF(AND(H8&gt;=Düzeyler!AJ$22,'Hedef Girişi'!K8&gt;=Düzeyler!AJ$22),TRUE,EXACT(H8,K8)))</f>
        <v>1</v>
      </c>
      <c r="O8" s="45" t="b">
        <f ca="1">IF(Düzeyler!AK$22=0,TRUE,IF(AND(I8&gt;=Düzeyler!AK$22,'Hedef Girişi'!L8&gt;=Düzeyler!AK$22),TRUE,EXACT(I8,L8)))</f>
        <v>1</v>
      </c>
    </row>
    <row r="9" spans="1:15" ht="15.75" x14ac:dyDescent="0.25">
      <c r="A9" s="6" t="s">
        <v>19</v>
      </c>
      <c r="B9" s="7" t="s">
        <v>17</v>
      </c>
      <c r="C9" s="8" t="s">
        <v>18</v>
      </c>
      <c r="E9" s="45" t="s">
        <v>92</v>
      </c>
      <c r="F9" s="45" t="str">
        <f>IFERROR(RIGHT(C4,LEN(C4)-SEARCH("-",C4)-1),"")</f>
        <v>Otokontrol</v>
      </c>
      <c r="G9" s="45">
        <f>IF($F9="","",COUNTIFS(PlanAktarılacakSayfa!$G:$G,"*"&amp;$F9)-H9-I9)</f>
        <v>0</v>
      </c>
      <c r="H9" s="45">
        <f>IF($F9="","",COUNTIFS(PlanAktarılacakSayfa!$G:$G,"*"&amp;$F9,PlanAktarılacakSayfa!$C:$C,H$3))</f>
        <v>0</v>
      </c>
      <c r="I9" s="45">
        <f>IF($F9="","",COUNTIFS(PlanAktarılacakSayfa!$G:$G,"*"&amp;$F9,PlanAktarılacakSayfa!$C:$C,I$3))</f>
        <v>0</v>
      </c>
      <c r="J9" s="45" cm="1">
        <f t="array" aca="1" ref="J9" ca="1">IF($F9="","",COUNTIFS(PlanAktarılacakSayfa!$C:$C,"*"&amp;INDIRECT("'Hedef Listesi'!U"&amp;MATCH($F9,'Hedef Listesi'!$C:$C,0)),PlanAktarılacakSayfa!$C:$C,J$3))</f>
        <v>0</v>
      </c>
      <c r="K9" s="45" cm="1">
        <f t="array" aca="1" ref="K9" ca="1">IF($F9="","",COUNTIFS(PlanAktarılacakSayfa!$C:$C,"*"&amp;INDIRECT("'Hedef Listesi'!V"&amp;MATCH($F9,'Hedef Listesi'!$C:$C,0)),PlanAktarılacakSayfa!$C:$C,K$3))</f>
        <v>0</v>
      </c>
      <c r="L9" s="45" cm="1">
        <f t="array" aca="1" ref="L9" ca="1">IF($F9="","",COUNTIFS(PlanAktarılacakSayfa!$C:$C,"*"&amp;INDIRECT("'Hedef Listesi'!W"&amp;MATCH($F9,'Hedef Listesi'!$C:$C,0)),PlanAktarılacakSayfa!$C:$C,L$3))</f>
        <v>0</v>
      </c>
      <c r="M9" s="45" t="b">
        <f ca="1">IF(Düzeyler!AL$22=0,TRUE,IF(AND(G9&gt;=Düzeyler!AL$22,'Hedef Girişi'!J9&gt;=Düzeyler!AL$22),TRUE,EXACT(G9,J9)))</f>
        <v>1</v>
      </c>
      <c r="N9" s="45" t="b">
        <f ca="1">IF(Düzeyler!AM$22=0,TRUE,IF(AND(H9&gt;=Düzeyler!AM$22,'Hedef Girişi'!K9&gt;=Düzeyler!AM$22),TRUE,EXACT(H9,K9)))</f>
        <v>1</v>
      </c>
      <c r="O9" s="45" t="b">
        <f ca="1">IF(Düzeyler!AN$22=0,TRUE,IF(AND(I9&gt;=Düzeyler!AN$22,'Hedef Girişi'!L9&gt;=Düzeyler!AN$22),TRUE,EXACT(I9,L9)))</f>
        <v>1</v>
      </c>
    </row>
    <row r="10" spans="1:15" ht="15.75" x14ac:dyDescent="0.25">
      <c r="A10" s="4" t="s">
        <v>14</v>
      </c>
      <c r="B10" s="3" t="str">
        <f>IFERROR(UPPER(Tablo22[[#This Row],[Hedef Türü]])&amp;UPPER(Tablo22[[#This Row],[Hedef Türü]])&amp;" - "&amp;VLOOKUP(RIGHT(B2,LEN(B2)-SEARCH("-",B2)-1),'Hedef Listesi'!$C:$C,1,FALSE),"Hedef Girişi Yapılmamış")</f>
        <v>GENEL HEDEFGENEL HEDEF - Aile İçi İletişim-Çocuk Hakları ve Çocuk Kıymeti</v>
      </c>
      <c r="C10" s="5" t="str">
        <f>IFERROR(UPPER(Tablo22[[#This Row],[Hedef Türü]])&amp;UPPER(Tablo22[[#This Row],[Hedef Türü]])&amp;" - "&amp;VLOOKUP(RIGHT(C2,LEN(C2)-SEARCH("-",C2)-1),'Hedef Listesi'!C:C,1,FALSE),"Hedef Girişi Yapılmamış")</f>
        <v>Hedef Girişi Yapılmamış</v>
      </c>
    </row>
    <row r="11" spans="1:15" ht="15.75" x14ac:dyDescent="0.25">
      <c r="A11" s="4" t="s">
        <v>15</v>
      </c>
      <c r="B11" s="3" t="str">
        <f>IFERROR(UPPER(Tablo22[[#This Row],[Hedef Türü]])&amp;UPPER(Tablo22[[#This Row],[Hedef Türü]])&amp;" - "&amp;VLOOKUP(RIGHT(B3,LEN(B3)-SEARCH("-",B3)-1),'Hedef Listesi'!$C:$C,1,FALSE),"Hedef Girişi Yapılmamış")</f>
        <v>YEREL HEDEFYEREL HEDEF - Akran Zorbalığı</v>
      </c>
      <c r="C11" s="5" t="str">
        <f>IFERROR(UPPER(Tablo22[[#This Row],[Hedef Türü]])&amp;UPPER(Tablo22[[#This Row],[Hedef Türü]])&amp;" - "&amp;VLOOKUP(RIGHT(C3,LEN(C3)-SEARCH("-",C3)-1),'Hedef Listesi'!C:C,1,FALSE),"Hedef Girişi Yapılmamış")</f>
        <v>Hedef Girişi Yapılmamış</v>
      </c>
    </row>
    <row r="12" spans="1:15" ht="15.75" x14ac:dyDescent="0.25">
      <c r="A12" s="9" t="s">
        <v>16</v>
      </c>
      <c r="B12" s="10" t="str">
        <f>IFERROR(UPPER(Tablo22[[#This Row],[Hedef Türü]])&amp;UPPER(Tablo22[[#This Row],[Hedef Türü]])&amp;" - "&amp;VLOOKUP(RIGHT(B4,LEN(B4)-SEARCH("-",B4)-1),'Hedef Listesi'!$C:$C,1,FALSE),"Hedef Girişi Yapılmamış")</f>
        <v>ÖZEL HEDEFÖZEL HEDEF - Karar Verme Becerisi</v>
      </c>
      <c r="C12" s="11" t="str">
        <f>IFERROR(UPPER(Tablo22[[#This Row],[Hedef Türü]])&amp;UPPER(Tablo22[[#This Row],[Hedef Türü]])&amp;" - "&amp;VLOOKUP(RIGHT(C4,LEN(C4)-SEARCH("-",C4)-1),'Hedef Listesi'!C:C,1,FALSE),"Hedef Girişi Yapılmamış")</f>
        <v>ÖZEL HEDEFÖZEL HEDEF - Otokontrol</v>
      </c>
      <c r="K12" s="16" t="str" cm="1">
        <f t="array" aca="1" ref="K12" ca="1">INDIRECT("'Hedef Listesi'!V"&amp;MATCH($F8,'Hedef Listesi'!$C:$C,0))</f>
        <v>Karar Verme Becerisi</v>
      </c>
    </row>
    <row r="14" spans="1:15" x14ac:dyDescent="0.25">
      <c r="A14" s="28" t="s">
        <v>184</v>
      </c>
      <c r="B14" t="s">
        <v>250</v>
      </c>
      <c r="C14" s="2" t="s">
        <v>266</v>
      </c>
    </row>
    <row r="15" spans="1:15" x14ac:dyDescent="0.25">
      <c r="A15" s="28" t="s">
        <v>89</v>
      </c>
      <c r="B15" t="str">
        <f>IFERROR(IF(VLOOKUP(B14,A19:C99,2,FALSE)="","",VLOOKUP(B14,A19:C99,2,FALSE)),"")</f>
        <v>Otokontrol</v>
      </c>
      <c r="C15" s="2" t="str">
        <f>IF(OR(B3=UPPER(A3&amp;A3)&amp;" - "&amp;B15,B3=UPPER(A3)&amp;" - "&amp;B15),"Yerel Hedef Doğru Girilmiş","Yerel Hedefler Uyuşmuyor")</f>
        <v>Yerel Hedefler Uyuşmuyor</v>
      </c>
    </row>
    <row r="16" spans="1:15" x14ac:dyDescent="0.25">
      <c r="A16" s="28" t="s">
        <v>90</v>
      </c>
      <c r="B16" t="str">
        <f>IFERROR(IF(VLOOKUP(B14,A19:C99,3,FALSE)="","",VLOOKUP(B14,A19:C99,3,FALSE)),"")</f>
        <v/>
      </c>
      <c r="C16" s="2" t="str">
        <f>IF(OR(C3=UPPER(A3&amp;A3)&amp;" - "&amp;B16,C3=UPPER(A3)&amp;" - "&amp;B16),"2. Yerel Hedef Doğru Girilmiş",IF(C3=B16,"2. Yerel Hedef Doğru Girilmiş","2 Yerel Hedef Uyuşmuyor"))</f>
        <v>2. Yerel Hedef Doğru Girilmiş</v>
      </c>
    </row>
    <row r="17" spans="1:3" x14ac:dyDescent="0.25">
      <c r="A17" s="28" t="s">
        <v>267</v>
      </c>
      <c r="B17" t="s">
        <v>99</v>
      </c>
    </row>
    <row r="18" spans="1:3" x14ac:dyDescent="0.25">
      <c r="A18" s="28" t="s">
        <v>183</v>
      </c>
      <c r="B18" s="29" t="s">
        <v>89</v>
      </c>
      <c r="C18" s="28" t="s">
        <v>90</v>
      </c>
    </row>
    <row r="19" spans="1:3" x14ac:dyDescent="0.25">
      <c r="A19" s="2" t="s">
        <v>185</v>
      </c>
      <c r="B19" s="1" t="s">
        <v>268</v>
      </c>
    </row>
    <row r="20" spans="1:3" x14ac:dyDescent="0.25">
      <c r="A20" s="2" t="s">
        <v>186</v>
      </c>
      <c r="B20" t="s">
        <v>323</v>
      </c>
    </row>
    <row r="21" spans="1:3" x14ac:dyDescent="0.25">
      <c r="A21" s="2" t="s">
        <v>187</v>
      </c>
      <c r="B21" t="s">
        <v>342</v>
      </c>
    </row>
    <row r="22" spans="1:3" x14ac:dyDescent="0.25">
      <c r="A22" s="2" t="s">
        <v>188</v>
      </c>
      <c r="B22" t="s">
        <v>1086</v>
      </c>
    </row>
    <row r="23" spans="1:3" x14ac:dyDescent="0.25">
      <c r="A23" s="2" t="s">
        <v>189</v>
      </c>
      <c r="B23" t="s">
        <v>289</v>
      </c>
    </row>
    <row r="24" spans="1:3" x14ac:dyDescent="0.25">
      <c r="A24" s="2" t="s">
        <v>190</v>
      </c>
      <c r="B24" s="1" t="s">
        <v>300</v>
      </c>
    </row>
    <row r="25" spans="1:3" x14ac:dyDescent="0.25">
      <c r="A25" s="2" t="s">
        <v>191</v>
      </c>
      <c r="B25" s="1" t="s">
        <v>46</v>
      </c>
    </row>
    <row r="26" spans="1:3" x14ac:dyDescent="0.25">
      <c r="A26" s="2" t="s">
        <v>192</v>
      </c>
      <c r="B26" t="s">
        <v>289</v>
      </c>
    </row>
    <row r="27" spans="1:3" x14ac:dyDescent="0.25">
      <c r="A27" s="2" t="s">
        <v>193</v>
      </c>
      <c r="B27" t="s">
        <v>323</v>
      </c>
    </row>
    <row r="28" spans="1:3" x14ac:dyDescent="0.25">
      <c r="A28" s="2" t="s">
        <v>194</v>
      </c>
      <c r="B28" t="s">
        <v>289</v>
      </c>
    </row>
    <row r="29" spans="1:3" x14ac:dyDescent="0.25">
      <c r="A29" s="2" t="s">
        <v>195</v>
      </c>
      <c r="B29" t="s">
        <v>28</v>
      </c>
    </row>
    <row r="30" spans="1:3" x14ac:dyDescent="0.25">
      <c r="A30" s="2" t="s">
        <v>196</v>
      </c>
      <c r="B30" t="s">
        <v>28</v>
      </c>
    </row>
    <row r="31" spans="1:3" x14ac:dyDescent="0.25">
      <c r="A31" s="2" t="s">
        <v>197</v>
      </c>
      <c r="B31" t="s">
        <v>289</v>
      </c>
    </row>
    <row r="32" spans="1:3" x14ac:dyDescent="0.25">
      <c r="A32" s="2" t="s">
        <v>198</v>
      </c>
      <c r="B32" t="s">
        <v>22</v>
      </c>
    </row>
    <row r="33" spans="1:2" x14ac:dyDescent="0.25">
      <c r="A33" s="2" t="s">
        <v>199</v>
      </c>
      <c r="B33" t="s">
        <v>268</v>
      </c>
    </row>
    <row r="34" spans="1:2" x14ac:dyDescent="0.25">
      <c r="A34" s="2" t="s">
        <v>200</v>
      </c>
      <c r="B34" t="s">
        <v>21</v>
      </c>
    </row>
    <row r="35" spans="1:2" x14ac:dyDescent="0.25">
      <c r="A35" s="2" t="s">
        <v>201</v>
      </c>
      <c r="B35" t="s">
        <v>289</v>
      </c>
    </row>
    <row r="36" spans="1:2" x14ac:dyDescent="0.25">
      <c r="A36" s="2" t="s">
        <v>202</v>
      </c>
      <c r="B36" t="s">
        <v>289</v>
      </c>
    </row>
    <row r="37" spans="1:2" x14ac:dyDescent="0.25">
      <c r="A37" s="2" t="s">
        <v>203</v>
      </c>
      <c r="B37" t="s">
        <v>289</v>
      </c>
    </row>
    <row r="38" spans="1:2" x14ac:dyDescent="0.25">
      <c r="A38" s="2" t="s">
        <v>204</v>
      </c>
      <c r="B38" t="s">
        <v>28</v>
      </c>
    </row>
    <row r="39" spans="1:2" x14ac:dyDescent="0.25">
      <c r="A39" s="2" t="s">
        <v>205</v>
      </c>
      <c r="B39" t="s">
        <v>289</v>
      </c>
    </row>
    <row r="40" spans="1:2" x14ac:dyDescent="0.25">
      <c r="A40" s="2" t="s">
        <v>206</v>
      </c>
      <c r="B40" t="s">
        <v>268</v>
      </c>
    </row>
    <row r="41" spans="1:2" x14ac:dyDescent="0.25">
      <c r="A41" s="2" t="s">
        <v>207</v>
      </c>
      <c r="B41" t="s">
        <v>268</v>
      </c>
    </row>
    <row r="42" spans="1:2" x14ac:dyDescent="0.25">
      <c r="A42" s="2" t="s">
        <v>208</v>
      </c>
      <c r="B42" t="s">
        <v>28</v>
      </c>
    </row>
    <row r="43" spans="1:2" x14ac:dyDescent="0.25">
      <c r="A43" s="2" t="s">
        <v>209</v>
      </c>
      <c r="B43" s="1" t="s">
        <v>290</v>
      </c>
    </row>
    <row r="44" spans="1:2" x14ac:dyDescent="0.25">
      <c r="A44" s="2" t="s">
        <v>210</v>
      </c>
      <c r="B44" s="1" t="s">
        <v>323</v>
      </c>
    </row>
    <row r="45" spans="1:2" x14ac:dyDescent="0.25">
      <c r="A45" s="2" t="s">
        <v>211</v>
      </c>
      <c r="B45" s="1" t="s">
        <v>323</v>
      </c>
    </row>
    <row r="46" spans="1:2" x14ac:dyDescent="0.25">
      <c r="A46" s="2" t="s">
        <v>212</v>
      </c>
      <c r="B46" s="1" t="s">
        <v>268</v>
      </c>
    </row>
    <row r="47" spans="1:2" x14ac:dyDescent="0.25">
      <c r="A47" s="2" t="s">
        <v>213</v>
      </c>
      <c r="B47" t="s">
        <v>323</v>
      </c>
    </row>
    <row r="48" spans="1:2" x14ac:dyDescent="0.25">
      <c r="A48" s="2" t="s">
        <v>214</v>
      </c>
      <c r="B48" t="s">
        <v>46</v>
      </c>
    </row>
    <row r="49" spans="1:2" x14ac:dyDescent="0.25">
      <c r="A49" s="2" t="s">
        <v>215</v>
      </c>
      <c r="B49" s="1" t="s">
        <v>289</v>
      </c>
    </row>
    <row r="50" spans="1:2" x14ac:dyDescent="0.25">
      <c r="A50" s="2" t="s">
        <v>216</v>
      </c>
      <c r="B50" s="1" t="s">
        <v>268</v>
      </c>
    </row>
    <row r="51" spans="1:2" x14ac:dyDescent="0.25">
      <c r="A51" s="2" t="s">
        <v>217</v>
      </c>
      <c r="B51" s="1" t="s">
        <v>323</v>
      </c>
    </row>
    <row r="52" spans="1:2" x14ac:dyDescent="0.25">
      <c r="A52" s="2" t="s">
        <v>218</v>
      </c>
      <c r="B52" s="1" t="s">
        <v>334</v>
      </c>
    </row>
    <row r="53" spans="1:2" x14ac:dyDescent="0.25">
      <c r="A53" s="2" t="s">
        <v>219</v>
      </c>
      <c r="B53" s="1" t="s">
        <v>342</v>
      </c>
    </row>
    <row r="54" spans="1:2" x14ac:dyDescent="0.25">
      <c r="A54" s="2" t="s">
        <v>220</v>
      </c>
      <c r="B54" s="1" t="s">
        <v>28</v>
      </c>
    </row>
    <row r="55" spans="1:2" x14ac:dyDescent="0.25">
      <c r="A55" s="2" t="s">
        <v>221</v>
      </c>
      <c r="B55" t="s">
        <v>1087</v>
      </c>
    </row>
    <row r="56" spans="1:2" x14ac:dyDescent="0.25">
      <c r="A56" s="2" t="s">
        <v>222</v>
      </c>
      <c r="B56" s="1" t="s">
        <v>323</v>
      </c>
    </row>
    <row r="57" spans="1:2" x14ac:dyDescent="0.25">
      <c r="A57" s="2" t="s">
        <v>223</v>
      </c>
      <c r="B57" s="1" t="s">
        <v>268</v>
      </c>
    </row>
    <row r="58" spans="1:2" x14ac:dyDescent="0.25">
      <c r="A58" s="2" t="s">
        <v>224</v>
      </c>
      <c r="B58" t="s">
        <v>323</v>
      </c>
    </row>
    <row r="59" spans="1:2" x14ac:dyDescent="0.25">
      <c r="A59" s="2" t="s">
        <v>225</v>
      </c>
      <c r="B59" s="1" t="s">
        <v>289</v>
      </c>
    </row>
    <row r="60" spans="1:2" x14ac:dyDescent="0.25">
      <c r="A60" s="2" t="s">
        <v>226</v>
      </c>
      <c r="B60" s="1" t="s">
        <v>268</v>
      </c>
    </row>
    <row r="61" spans="1:2" x14ac:dyDescent="0.25">
      <c r="A61" s="2" t="s">
        <v>227</v>
      </c>
      <c r="B61" s="1" t="s">
        <v>268</v>
      </c>
    </row>
    <row r="62" spans="1:2" x14ac:dyDescent="0.25">
      <c r="A62" s="2" t="s">
        <v>228</v>
      </c>
      <c r="B62" s="1" t="s">
        <v>342</v>
      </c>
    </row>
    <row r="63" spans="1:2" x14ac:dyDescent="0.25">
      <c r="A63" s="2" t="s">
        <v>229</v>
      </c>
      <c r="B63" s="1" t="s">
        <v>289</v>
      </c>
    </row>
    <row r="64" spans="1:2" x14ac:dyDescent="0.25">
      <c r="A64" s="2" t="s">
        <v>230</v>
      </c>
      <c r="B64" s="1" t="s">
        <v>289</v>
      </c>
    </row>
    <row r="65" spans="1:2" x14ac:dyDescent="0.25">
      <c r="A65" s="2" t="s">
        <v>231</v>
      </c>
      <c r="B65" t="s">
        <v>268</v>
      </c>
    </row>
    <row r="66" spans="1:2" x14ac:dyDescent="0.25">
      <c r="A66" s="2" t="s">
        <v>232</v>
      </c>
      <c r="B66" t="s">
        <v>28</v>
      </c>
    </row>
    <row r="67" spans="1:2" x14ac:dyDescent="0.25">
      <c r="A67" s="2" t="s">
        <v>233</v>
      </c>
      <c r="B67" s="1" t="s">
        <v>46</v>
      </c>
    </row>
    <row r="68" spans="1:2" x14ac:dyDescent="0.25">
      <c r="A68" s="2" t="s">
        <v>234</v>
      </c>
      <c r="B68" t="s">
        <v>323</v>
      </c>
    </row>
    <row r="69" spans="1:2" x14ac:dyDescent="0.25">
      <c r="A69" s="2" t="s">
        <v>235</v>
      </c>
      <c r="B69" s="1" t="s">
        <v>268</v>
      </c>
    </row>
    <row r="70" spans="1:2" x14ac:dyDescent="0.25">
      <c r="A70" s="2" t="s">
        <v>236</v>
      </c>
      <c r="B70" s="1" t="s">
        <v>342</v>
      </c>
    </row>
    <row r="71" spans="1:2" x14ac:dyDescent="0.25">
      <c r="A71" s="2" t="s">
        <v>237</v>
      </c>
      <c r="B71" t="s">
        <v>323</v>
      </c>
    </row>
    <row r="72" spans="1:2" x14ac:dyDescent="0.25">
      <c r="A72" s="2" t="s">
        <v>238</v>
      </c>
      <c r="B72" t="s">
        <v>28</v>
      </c>
    </row>
    <row r="73" spans="1:2" x14ac:dyDescent="0.25">
      <c r="A73" s="2" t="s">
        <v>239</v>
      </c>
      <c r="B73" t="s">
        <v>342</v>
      </c>
    </row>
    <row r="74" spans="1:2" x14ac:dyDescent="0.25">
      <c r="A74" s="2" t="s">
        <v>240</v>
      </c>
      <c r="B74" s="1" t="s">
        <v>323</v>
      </c>
    </row>
    <row r="75" spans="1:2" x14ac:dyDescent="0.25">
      <c r="A75" s="2" t="s">
        <v>241</v>
      </c>
      <c r="B75" s="1" t="s">
        <v>268</v>
      </c>
    </row>
    <row r="76" spans="1:2" x14ac:dyDescent="0.25">
      <c r="A76" s="2" t="s">
        <v>242</v>
      </c>
      <c r="B76" t="s">
        <v>298</v>
      </c>
    </row>
    <row r="77" spans="1:2" x14ac:dyDescent="0.25">
      <c r="A77" s="2" t="s">
        <v>243</v>
      </c>
      <c r="B77" s="1" t="s">
        <v>342</v>
      </c>
    </row>
    <row r="78" spans="1:2" x14ac:dyDescent="0.25">
      <c r="A78" s="2" t="s">
        <v>244</v>
      </c>
      <c r="B78" s="1" t="s">
        <v>323</v>
      </c>
    </row>
    <row r="79" spans="1:2" x14ac:dyDescent="0.25">
      <c r="A79" s="2" t="s">
        <v>245</v>
      </c>
      <c r="B79" s="1" t="s">
        <v>334</v>
      </c>
    </row>
    <row r="80" spans="1:2" x14ac:dyDescent="0.25">
      <c r="A80" s="2" t="s">
        <v>246</v>
      </c>
      <c r="B80" s="1" t="s">
        <v>289</v>
      </c>
    </row>
    <row r="81" spans="1:2" x14ac:dyDescent="0.25">
      <c r="A81" s="2" t="s">
        <v>247</v>
      </c>
      <c r="B81" s="1" t="s">
        <v>28</v>
      </c>
    </row>
    <row r="82" spans="1:2" x14ac:dyDescent="0.25">
      <c r="A82" s="2" t="s">
        <v>248</v>
      </c>
      <c r="B82" s="1" t="s">
        <v>268</v>
      </c>
    </row>
    <row r="83" spans="1:2" x14ac:dyDescent="0.25">
      <c r="A83" s="2" t="s">
        <v>249</v>
      </c>
      <c r="B83" t="s">
        <v>323</v>
      </c>
    </row>
    <row r="84" spans="1:2" x14ac:dyDescent="0.25">
      <c r="A84" s="2" t="s">
        <v>250</v>
      </c>
      <c r="B84" s="1" t="s">
        <v>289</v>
      </c>
    </row>
    <row r="85" spans="1:2" x14ac:dyDescent="0.25">
      <c r="A85" s="2" t="s">
        <v>251</v>
      </c>
      <c r="B85" t="s">
        <v>342</v>
      </c>
    </row>
    <row r="86" spans="1:2" x14ac:dyDescent="0.25">
      <c r="A86" s="2" t="s">
        <v>252</v>
      </c>
      <c r="B86" t="s">
        <v>323</v>
      </c>
    </row>
    <row r="87" spans="1:2" x14ac:dyDescent="0.25">
      <c r="A87" s="2" t="s">
        <v>253</v>
      </c>
      <c r="B87" s="1" t="s">
        <v>289</v>
      </c>
    </row>
    <row r="88" spans="1:2" x14ac:dyDescent="0.25">
      <c r="A88" s="2" t="s">
        <v>254</v>
      </c>
      <c r="B88" s="1" t="s">
        <v>289</v>
      </c>
    </row>
    <row r="89" spans="1:2" x14ac:dyDescent="0.25">
      <c r="A89" s="2" t="s">
        <v>255</v>
      </c>
      <c r="B89" s="1" t="s">
        <v>289</v>
      </c>
    </row>
    <row r="90" spans="1:2" x14ac:dyDescent="0.25">
      <c r="A90" s="2" t="s">
        <v>256</v>
      </c>
      <c r="B90" t="s">
        <v>1088</v>
      </c>
    </row>
    <row r="91" spans="1:2" x14ac:dyDescent="0.25">
      <c r="A91" s="2" t="s">
        <v>257</v>
      </c>
      <c r="B91" s="1" t="s">
        <v>1089</v>
      </c>
    </row>
    <row r="92" spans="1:2" x14ac:dyDescent="0.25">
      <c r="A92" s="2" t="s">
        <v>258</v>
      </c>
      <c r="B92" t="s">
        <v>323</v>
      </c>
    </row>
    <row r="93" spans="1:2" x14ac:dyDescent="0.25">
      <c r="A93" s="2" t="s">
        <v>259</v>
      </c>
      <c r="B93" t="s">
        <v>323</v>
      </c>
    </row>
    <row r="94" spans="1:2" x14ac:dyDescent="0.25">
      <c r="A94" s="2" t="s">
        <v>260</v>
      </c>
      <c r="B94" t="s">
        <v>334</v>
      </c>
    </row>
    <row r="95" spans="1:2" x14ac:dyDescent="0.25">
      <c r="A95" s="2" t="s">
        <v>261</v>
      </c>
      <c r="B95" s="1" t="s">
        <v>344</v>
      </c>
    </row>
    <row r="96" spans="1:2" x14ac:dyDescent="0.25">
      <c r="A96" s="2" t="s">
        <v>262</v>
      </c>
      <c r="B96" s="1" t="s">
        <v>1090</v>
      </c>
    </row>
    <row r="97" spans="1:2" x14ac:dyDescent="0.25">
      <c r="A97" s="2" t="s">
        <v>263</v>
      </c>
      <c r="B97" t="s">
        <v>46</v>
      </c>
    </row>
    <row r="98" spans="1:2" x14ac:dyDescent="0.25">
      <c r="A98" s="2" t="s">
        <v>264</v>
      </c>
      <c r="B98" t="s">
        <v>1091</v>
      </c>
    </row>
    <row r="99" spans="1:2" x14ac:dyDescent="0.25">
      <c r="A99" s="2" t="s">
        <v>265</v>
      </c>
      <c r="B99" t="s">
        <v>28</v>
      </c>
    </row>
  </sheetData>
  <mergeCells count="3">
    <mergeCell ref="J1:L1"/>
    <mergeCell ref="G1:I1"/>
    <mergeCell ref="M1:O1"/>
  </mergeCells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AO26"/>
  <sheetViews>
    <sheetView topLeftCell="A5" workbookViewId="0">
      <selection activeCell="D25" sqref="D25"/>
    </sheetView>
  </sheetViews>
  <sheetFormatPr defaultRowHeight="15" x14ac:dyDescent="0.25"/>
  <cols>
    <col min="1" max="1" width="6.140625" style="2" customWidth="1"/>
    <col min="2" max="2" width="18.42578125" style="2" customWidth="1"/>
    <col min="3" max="3" width="93.140625" style="2" customWidth="1"/>
    <col min="4" max="9" width="6.5703125" style="2" customWidth="1"/>
    <col min="10" max="10" width="8.7109375" style="2" customWidth="1"/>
    <col min="11" max="21" width="6.5703125" style="2" customWidth="1"/>
    <col min="22" max="22" width="38.85546875" style="2" customWidth="1"/>
    <col min="23" max="40" width="4.5703125" style="2" customWidth="1"/>
    <col min="41" max="16384" width="9.140625" style="2"/>
  </cols>
  <sheetData>
    <row r="1" spans="1:41" x14ac:dyDescent="0.25">
      <c r="A1" s="19" t="s">
        <v>84</v>
      </c>
      <c r="B1" s="19" t="s">
        <v>85</v>
      </c>
      <c r="C1" s="19" t="s">
        <v>86</v>
      </c>
      <c r="D1" s="57" t="s">
        <v>87</v>
      </c>
      <c r="E1" s="57"/>
      <c r="F1" s="57"/>
      <c r="G1" s="57" t="s">
        <v>88</v>
      </c>
      <c r="H1" s="57"/>
      <c r="I1" s="57"/>
      <c r="J1" s="57" t="s">
        <v>89</v>
      </c>
      <c r="K1" s="57"/>
      <c r="L1" s="57"/>
      <c r="M1" s="57" t="s">
        <v>90</v>
      </c>
      <c r="N1" s="57"/>
      <c r="O1" s="57"/>
      <c r="P1" s="57" t="s">
        <v>91</v>
      </c>
      <c r="Q1" s="57"/>
      <c r="R1" s="57"/>
      <c r="S1" s="57" t="s">
        <v>92</v>
      </c>
      <c r="T1" s="57"/>
      <c r="U1" s="57"/>
      <c r="V1" s="2" t="s">
        <v>182</v>
      </c>
    </row>
    <row r="2" spans="1:41" x14ac:dyDescent="0.25">
      <c r="A2" s="19"/>
      <c r="B2" s="19"/>
      <c r="C2" s="19"/>
      <c r="D2" s="19" t="s">
        <v>93</v>
      </c>
      <c r="E2" s="19" t="s">
        <v>94</v>
      </c>
      <c r="F2" s="19" t="s">
        <v>95</v>
      </c>
      <c r="G2" s="19" t="s">
        <v>93</v>
      </c>
      <c r="H2" s="19" t="s">
        <v>94</v>
      </c>
      <c r="I2" s="19" t="s">
        <v>95</v>
      </c>
      <c r="J2" s="19" t="s">
        <v>93</v>
      </c>
      <c r="K2" s="19" t="s">
        <v>94</v>
      </c>
      <c r="L2" s="19" t="s">
        <v>95</v>
      </c>
      <c r="M2" s="19" t="s">
        <v>93</v>
      </c>
      <c r="N2" s="19" t="s">
        <v>94</v>
      </c>
      <c r="O2" s="19" t="s">
        <v>95</v>
      </c>
      <c r="P2" s="19" t="s">
        <v>93</v>
      </c>
      <c r="Q2" s="19" t="s">
        <v>94</v>
      </c>
      <c r="R2" s="19" t="s">
        <v>95</v>
      </c>
      <c r="S2" s="19" t="s">
        <v>93</v>
      </c>
      <c r="T2" s="19" t="s">
        <v>94</v>
      </c>
      <c r="U2" s="19" t="s">
        <v>95</v>
      </c>
      <c r="W2" s="2" t="s">
        <v>87</v>
      </c>
      <c r="Z2" s="2" t="s">
        <v>88</v>
      </c>
      <c r="AC2" s="2" t="s">
        <v>89</v>
      </c>
      <c r="AF2" s="2" t="s">
        <v>90</v>
      </c>
      <c r="AI2" s="2" t="s">
        <v>91</v>
      </c>
      <c r="AL2" s="2" t="s">
        <v>92</v>
      </c>
    </row>
    <row r="3" spans="1:41" x14ac:dyDescent="0.25">
      <c r="A3" s="19"/>
      <c r="B3" s="19"/>
      <c r="C3" s="19"/>
      <c r="D3" s="19" t="s">
        <v>1080</v>
      </c>
      <c r="E3" s="19" t="s">
        <v>96</v>
      </c>
      <c r="F3" s="19" t="s">
        <v>97</v>
      </c>
      <c r="G3" s="19" t="s">
        <v>1080</v>
      </c>
      <c r="H3" s="19" t="s">
        <v>96</v>
      </c>
      <c r="I3" s="19" t="s">
        <v>97</v>
      </c>
      <c r="J3" s="19" t="s">
        <v>1080</v>
      </c>
      <c r="K3" s="19" t="s">
        <v>96</v>
      </c>
      <c r="L3" s="19" t="s">
        <v>97</v>
      </c>
      <c r="M3" s="19" t="s">
        <v>1080</v>
      </c>
      <c r="N3" s="19" t="s">
        <v>96</v>
      </c>
      <c r="O3" s="19" t="s">
        <v>97</v>
      </c>
      <c r="P3" s="19" t="s">
        <v>1080</v>
      </c>
      <c r="Q3" s="19" t="s">
        <v>96</v>
      </c>
      <c r="R3" s="19" t="s">
        <v>97</v>
      </c>
      <c r="S3" s="19" t="s">
        <v>1080</v>
      </c>
      <c r="T3" s="19" t="s">
        <v>96</v>
      </c>
      <c r="U3" s="19" t="s">
        <v>97</v>
      </c>
      <c r="W3" s="2" t="s">
        <v>93</v>
      </c>
      <c r="X3" s="2" t="s">
        <v>94</v>
      </c>
      <c r="Y3" s="2" t="s">
        <v>95</v>
      </c>
      <c r="Z3" s="2" t="s">
        <v>93</v>
      </c>
      <c r="AA3" s="2" t="s">
        <v>94</v>
      </c>
      <c r="AB3" s="2" t="s">
        <v>95</v>
      </c>
      <c r="AC3" s="2" t="s">
        <v>93</v>
      </c>
      <c r="AD3" s="2" t="s">
        <v>94</v>
      </c>
      <c r="AE3" s="2" t="s">
        <v>95</v>
      </c>
      <c r="AF3" s="2" t="s">
        <v>93</v>
      </c>
      <c r="AG3" s="2" t="s">
        <v>94</v>
      </c>
      <c r="AH3" s="2" t="s">
        <v>95</v>
      </c>
      <c r="AI3" s="2" t="s">
        <v>93</v>
      </c>
      <c r="AJ3" s="2" t="s">
        <v>94</v>
      </c>
      <c r="AK3" s="2" t="s">
        <v>95</v>
      </c>
      <c r="AL3" s="2" t="s">
        <v>93</v>
      </c>
      <c r="AM3" s="2" t="s">
        <v>94</v>
      </c>
      <c r="AN3" s="2" t="s">
        <v>95</v>
      </c>
      <c r="AO3" s="2" t="s">
        <v>310</v>
      </c>
    </row>
    <row r="4" spans="1:41" ht="45" x14ac:dyDescent="0.25">
      <c r="A4" s="58" t="s">
        <v>8</v>
      </c>
      <c r="B4" s="20" t="s">
        <v>6</v>
      </c>
      <c r="C4" s="21" t="s">
        <v>354</v>
      </c>
      <c r="D4" s="13">
        <f>COUNTIFS(PlanAktarılacakSayfa!$D:$D,Düzeyler!$C4,PlanAktarılacakSayfa!$G:$G,'Hedef Girişi'!$B$2,PlanAktarılacakSayfa!$C:$C,Düzeyler!D$3)</f>
        <v>0</v>
      </c>
      <c r="E4" s="13">
        <f>COUNTIFS(PlanAktarılacakSayfa!$D:$D,Düzeyler!$C4,PlanAktarılacakSayfa!$G:$G,'Hedef Girişi'!$B$2,PlanAktarılacakSayfa!$C:$C,Düzeyler!E$3)</f>
        <v>0</v>
      </c>
      <c r="F4" s="13">
        <f>COUNTIFS(PlanAktarılacakSayfa!$D:$D,Düzeyler!$C4,PlanAktarılacakSayfa!$G:$G,'Hedef Girişi'!$B$2,PlanAktarılacakSayfa!$C:$C,Düzeyler!F$3)</f>
        <v>0</v>
      </c>
      <c r="G4" s="13">
        <f>COUNTIFS(PlanAktarılacakSayfa!$D:$D,Düzeyler!$C4,PlanAktarılacakSayfa!$G:$G,'Hedef Girişi'!$C$2,PlanAktarılacakSayfa!$C:$C,Düzeyler!G$3)</f>
        <v>0</v>
      </c>
      <c r="H4" s="13">
        <f>COUNTIFS(PlanAktarılacakSayfa!$D:$D,Düzeyler!$C4,PlanAktarılacakSayfa!$G:$G,'Hedef Girişi'!$C$2,PlanAktarılacakSayfa!$C:$C,Düzeyler!H$3)</f>
        <v>0</v>
      </c>
      <c r="I4" s="13">
        <f>COUNTIFS(PlanAktarılacakSayfa!$D:$D,Düzeyler!$C4,PlanAktarılacakSayfa!$G:$G,'Hedef Girişi'!$C$2,PlanAktarılacakSayfa!$C:$C,Düzeyler!I$3)</f>
        <v>0</v>
      </c>
      <c r="J4" s="13">
        <f>COUNTIFS(PlanAktarılacakSayfa!$D:$D,Düzeyler!$C4,PlanAktarılacakSayfa!$G:$G,'Hedef Girişi'!$B$3,PlanAktarılacakSayfa!$C:$C,Düzeyler!J$3)</f>
        <v>0</v>
      </c>
      <c r="K4" s="13">
        <f>COUNTIFS(PlanAktarılacakSayfa!$D:$D,Düzeyler!$C4,PlanAktarılacakSayfa!$G:$G,'Hedef Girişi'!$B$3,PlanAktarılacakSayfa!$C:$C,Düzeyler!K$3)</f>
        <v>0</v>
      </c>
      <c r="L4" s="13">
        <f>COUNTIFS(PlanAktarılacakSayfa!$D:$D,Düzeyler!$C4,PlanAktarılacakSayfa!$G:$G,'Hedef Girişi'!$B$3,PlanAktarılacakSayfa!$C:$C,Düzeyler!L$3)</f>
        <v>0</v>
      </c>
      <c r="M4" s="13">
        <f>COUNTIFS(PlanAktarılacakSayfa!$D:$D,Düzeyler!$C4,PlanAktarılacakSayfa!$G:$G,'Hedef Girişi'!$C$3,PlanAktarılacakSayfa!$C:$C,Düzeyler!M$3)</f>
        <v>0</v>
      </c>
      <c r="N4" s="13">
        <f>COUNTIFS(PlanAktarılacakSayfa!$D:$D,Düzeyler!$C4,PlanAktarılacakSayfa!$G:$G,'Hedef Girişi'!$C$3,PlanAktarılacakSayfa!$C:$C,Düzeyler!N$3)</f>
        <v>0</v>
      </c>
      <c r="O4" s="13">
        <f>COUNTIFS(PlanAktarılacakSayfa!$D:$D,Düzeyler!$C4,PlanAktarılacakSayfa!$G:$G,'Hedef Girişi'!$C$3,PlanAktarılacakSayfa!$C:$C,Düzeyler!O$3)</f>
        <v>0</v>
      </c>
      <c r="P4" s="13">
        <f>COUNTIFS(PlanAktarılacakSayfa!$D:$D,Düzeyler!$C4,PlanAktarılacakSayfa!$G:$G,'Hedef Girişi'!$B$4,PlanAktarılacakSayfa!$C:$C,Düzeyler!P$3)</f>
        <v>0</v>
      </c>
      <c r="Q4" s="13">
        <f>COUNTIFS(PlanAktarılacakSayfa!$D:$D,Düzeyler!$C4,PlanAktarılacakSayfa!$G:$G,'Hedef Girişi'!$B$4,PlanAktarılacakSayfa!$C:$C,Düzeyler!Q$3)</f>
        <v>0</v>
      </c>
      <c r="R4" s="13">
        <f>COUNTIFS(PlanAktarılacakSayfa!$D:$D,Düzeyler!$C4,PlanAktarılacakSayfa!$G:$G,'Hedef Girişi'!$B$4,PlanAktarılacakSayfa!$C:$C,Düzeyler!R$3)</f>
        <v>0</v>
      </c>
      <c r="S4" s="13">
        <f>COUNTIFS(PlanAktarılacakSayfa!$D:$D,Düzeyler!$C4,PlanAktarılacakSayfa!$G:$G,'Hedef Girişi'!$C$4,PlanAktarılacakSayfa!$C:$C,Düzeyler!S$3)</f>
        <v>0</v>
      </c>
      <c r="T4" s="13">
        <f>COUNTIFS(PlanAktarılacakSayfa!$D:$D,Düzeyler!$C4,PlanAktarılacakSayfa!$G:$G,'Hedef Girişi'!$C$4,PlanAktarılacakSayfa!$C:$C,Düzeyler!T$3)</f>
        <v>0</v>
      </c>
      <c r="U4" s="13">
        <f>COUNTIFS(PlanAktarılacakSayfa!$D:$D,Düzeyler!$C4,PlanAktarılacakSayfa!$G:$G,'Hedef Girişi'!$C$4,PlanAktarılacakSayfa!$C:$C,Düzeyler!U$3)</f>
        <v>0</v>
      </c>
      <c r="V4" s="22" t="s">
        <v>307</v>
      </c>
      <c r="W4" s="2">
        <v>2</v>
      </c>
      <c r="X4" s="2">
        <v>2</v>
      </c>
      <c r="Y4" s="2">
        <v>1</v>
      </c>
      <c r="Z4" s="2">
        <f>IF(AND('Hedef Girişi'!B7="",'Hedef Girişi'!C7="2. Genel Hedef Doğru Girilmiş"),0,2)</f>
        <v>0</v>
      </c>
      <c r="AA4" s="2">
        <f>IF(AND('Hedef Girişi'!B7="",'Hedef Girişi'!C7="2. Genel Hedef Doğru Girilmiş"),0,2)</f>
        <v>0</v>
      </c>
      <c r="AB4" s="2">
        <f>IF(AND('Hedef Girişi'!B7="",'Hedef Girişi'!C7="2. Genel Hedef Doğru Girilmiş"),0,1)</f>
        <v>0</v>
      </c>
      <c r="AC4" s="2">
        <v>2</v>
      </c>
      <c r="AD4" s="2">
        <v>2</v>
      </c>
      <c r="AE4" s="2">
        <v>1</v>
      </c>
      <c r="AF4" s="2">
        <f>IF(AND('Hedef Girişi'!B16="",'Hedef Girişi'!C16="2. Yerel Hedef Doğru Girilmiş"),0,2)</f>
        <v>0</v>
      </c>
      <c r="AG4" s="2">
        <f>IF(AND('Hedef Girişi'!B16="",'Hedef Girişi'!C16="2. Yerel Hedef Doğru Girilmiş"),0,2)</f>
        <v>0</v>
      </c>
      <c r="AH4" s="2">
        <f>IF(AND('Hedef Girişi'!B16="",'Hedef Girişi'!C16="2. Yerel Hedef Doğru Girilmiş"),0,1)</f>
        <v>0</v>
      </c>
      <c r="AI4" s="2">
        <v>2</v>
      </c>
      <c r="AJ4" s="2">
        <v>2</v>
      </c>
      <c r="AK4" s="2">
        <v>1</v>
      </c>
      <c r="AL4" s="2">
        <v>2</v>
      </c>
      <c r="AM4" s="2">
        <v>2</v>
      </c>
      <c r="AN4" s="2">
        <v>1</v>
      </c>
      <c r="AO4" s="2" t="str">
        <f>IF(AND(AO5="",AO6="",AO7="",AO8=""),"Değerlendirilen Okul Türü","")</f>
        <v>Değerlendirilen Okul Türü</v>
      </c>
    </row>
    <row r="5" spans="1:41" ht="30" x14ac:dyDescent="0.25">
      <c r="A5" s="58"/>
      <c r="B5" s="20" t="s">
        <v>0</v>
      </c>
      <c r="C5" s="21" t="s">
        <v>320</v>
      </c>
      <c r="D5" s="13">
        <f>COUNTIFS(PlanAktarılacakSayfa!$D:$D,Düzeyler!$C5,PlanAktarılacakSayfa!$G:$G,'Hedef Girişi'!$B$2,PlanAktarılacakSayfa!$C:$C,Düzeyler!D$3)-D13</f>
        <v>0</v>
      </c>
      <c r="E5" s="13">
        <f>COUNTIFS(PlanAktarılacakSayfa!$D:$D,Düzeyler!$C5,PlanAktarılacakSayfa!$G:$G,'Hedef Girişi'!$B$2,PlanAktarılacakSayfa!$C:$C,Düzeyler!E$3)-E13</f>
        <v>0</v>
      </c>
      <c r="F5" s="13">
        <f>COUNTIFS(PlanAktarılacakSayfa!$D:$D,Düzeyler!$C5,PlanAktarılacakSayfa!$G:$G,'Hedef Girişi'!$B$2,PlanAktarılacakSayfa!$C:$C,Düzeyler!F$3)-F13</f>
        <v>0</v>
      </c>
      <c r="G5" s="13">
        <f>COUNTIFS(PlanAktarılacakSayfa!$D:$D,Düzeyler!$C5,PlanAktarılacakSayfa!$G:$G,'Hedef Girişi'!$C$2,PlanAktarılacakSayfa!$C:$C,Düzeyler!G$3)-G13</f>
        <v>0</v>
      </c>
      <c r="H5" s="13">
        <f>COUNTIFS(PlanAktarılacakSayfa!$D:$D,Düzeyler!$C5,PlanAktarılacakSayfa!$G:$G,'Hedef Girişi'!$C$2,PlanAktarılacakSayfa!$C:$C,Düzeyler!H$3)-H13</f>
        <v>0</v>
      </c>
      <c r="I5" s="13">
        <f>COUNTIFS(PlanAktarılacakSayfa!$D:$D,Düzeyler!$C5,PlanAktarılacakSayfa!$G:$G,'Hedef Girişi'!$C$2,PlanAktarılacakSayfa!$C:$C,Düzeyler!I$3)-I13</f>
        <v>0</v>
      </c>
      <c r="J5" s="13">
        <f>COUNTIFS(PlanAktarılacakSayfa!$D:$D,Düzeyler!$C5,PlanAktarılacakSayfa!$G:$G,'Hedef Girişi'!$B$3,PlanAktarılacakSayfa!$C:$C,Düzeyler!J$3)-J13</f>
        <v>0</v>
      </c>
      <c r="K5" s="13">
        <f>COUNTIFS(PlanAktarılacakSayfa!$D:$D,Düzeyler!$C5,PlanAktarılacakSayfa!$G:$G,'Hedef Girişi'!$B$3,PlanAktarılacakSayfa!$C:$C,Düzeyler!K$3)-K13</f>
        <v>0</v>
      </c>
      <c r="L5" s="13">
        <f>COUNTIFS(PlanAktarılacakSayfa!$D:$D,Düzeyler!$C5,PlanAktarılacakSayfa!$G:$G,'Hedef Girişi'!$B$3,PlanAktarılacakSayfa!$C:$C,Düzeyler!L$3)-L13</f>
        <v>0</v>
      </c>
      <c r="M5" s="13">
        <f>COUNTIFS(PlanAktarılacakSayfa!$D:$D,Düzeyler!$C5,PlanAktarılacakSayfa!$G:$G,'Hedef Girişi'!$C$3,PlanAktarılacakSayfa!$C:$C,Düzeyler!M$3)-M13</f>
        <v>0</v>
      </c>
      <c r="N5" s="13">
        <f>COUNTIFS(PlanAktarılacakSayfa!$D:$D,Düzeyler!$C5,PlanAktarılacakSayfa!$G:$G,'Hedef Girişi'!$C$3,PlanAktarılacakSayfa!$C:$C,Düzeyler!N$3)-N13</f>
        <v>0</v>
      </c>
      <c r="O5" s="13">
        <f>COUNTIFS(PlanAktarılacakSayfa!$D:$D,Düzeyler!$C5,PlanAktarılacakSayfa!$G:$G,'Hedef Girişi'!$C$3,PlanAktarılacakSayfa!$C:$C,Düzeyler!O$3)-O13</f>
        <v>0</v>
      </c>
      <c r="P5" s="13">
        <f>COUNTIFS(PlanAktarılacakSayfa!$D:$D,Düzeyler!$C5,PlanAktarılacakSayfa!$G:$G,'Hedef Girişi'!$B$4,PlanAktarılacakSayfa!$C:$C,Düzeyler!P$3)-P13</f>
        <v>0</v>
      </c>
      <c r="Q5" s="13">
        <f>COUNTIFS(PlanAktarılacakSayfa!$D:$D,Düzeyler!$C5,PlanAktarılacakSayfa!$G:$G,'Hedef Girişi'!$B$4,PlanAktarılacakSayfa!$C:$C,Düzeyler!Q$3)-Q13</f>
        <v>0</v>
      </c>
      <c r="R5" s="13">
        <f>COUNTIFS(PlanAktarılacakSayfa!$D:$D,Düzeyler!$C5,PlanAktarılacakSayfa!$G:$G,'Hedef Girişi'!$B$4,PlanAktarılacakSayfa!$C:$C,Düzeyler!R$3)-R13</f>
        <v>0</v>
      </c>
      <c r="S5" s="13">
        <f>COUNTIFS(PlanAktarılacakSayfa!$D:$D,Düzeyler!$C5,PlanAktarılacakSayfa!$G:$G,'Hedef Girişi'!$C$4,PlanAktarılacakSayfa!$C:$C,Düzeyler!S$3)-S13</f>
        <v>0</v>
      </c>
      <c r="T5" s="13">
        <f>COUNTIFS(PlanAktarılacakSayfa!$D:$D,Düzeyler!$C5,PlanAktarılacakSayfa!$G:$G,'Hedef Girişi'!$C$4,PlanAktarılacakSayfa!$C:$C,Düzeyler!T$3)-T13</f>
        <v>0</v>
      </c>
      <c r="U5" s="13">
        <f>COUNTIFS(PlanAktarılacakSayfa!$D:$D,Düzeyler!$C5,PlanAktarılacakSayfa!$G:$G,'Hedef Girişi'!$C$4,PlanAktarılacakSayfa!$C:$C,Düzeyler!U$3)-U13</f>
        <v>0</v>
      </c>
      <c r="V5" s="22" t="s">
        <v>308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1</v>
      </c>
      <c r="AJ5" s="2">
        <v>1</v>
      </c>
      <c r="AK5" s="2">
        <v>1</v>
      </c>
      <c r="AL5" s="2">
        <v>1</v>
      </c>
      <c r="AM5" s="2">
        <v>1</v>
      </c>
      <c r="AN5" s="2">
        <v>1</v>
      </c>
      <c r="AO5" s="2" t="str">
        <f>IF(ISERROR(SEARCH("Özel Eğitim",W24)),"","Değerlendirilen Okul Türü")</f>
        <v/>
      </c>
    </row>
    <row r="6" spans="1:41" ht="30" x14ac:dyDescent="0.25">
      <c r="A6" s="58"/>
      <c r="B6" s="20" t="s">
        <v>0</v>
      </c>
      <c r="C6" s="21" t="s">
        <v>319</v>
      </c>
      <c r="D6" s="13">
        <f>COUNTIFS(PlanAktarılacakSayfa!$D:$D,Düzeyler!$C6,PlanAktarılacakSayfa!$G:$G,'Hedef Girişi'!$B$2,PlanAktarılacakSayfa!$C:$C,Düzeyler!D$3)-D14</f>
        <v>0</v>
      </c>
      <c r="E6" s="13">
        <f>COUNTIFS(PlanAktarılacakSayfa!$D:$D,Düzeyler!$C6,PlanAktarılacakSayfa!$G:$G,'Hedef Girişi'!$B$2,PlanAktarılacakSayfa!$C:$C,Düzeyler!E$3)-E14</f>
        <v>0</v>
      </c>
      <c r="F6" s="13">
        <f>COUNTIFS(PlanAktarılacakSayfa!$D:$D,Düzeyler!$C6,PlanAktarılacakSayfa!$G:$G,'Hedef Girişi'!$B$2,PlanAktarılacakSayfa!$C:$C,Düzeyler!F$3)-F14</f>
        <v>0</v>
      </c>
      <c r="G6" s="13">
        <f>COUNTIFS(PlanAktarılacakSayfa!$D:$D,Düzeyler!$C6,PlanAktarılacakSayfa!$G:$G,'Hedef Girişi'!$C$2,PlanAktarılacakSayfa!$C:$C,Düzeyler!G$3)-G14</f>
        <v>0</v>
      </c>
      <c r="H6" s="13">
        <f>COUNTIFS(PlanAktarılacakSayfa!$D:$D,Düzeyler!$C6,PlanAktarılacakSayfa!$G:$G,'Hedef Girişi'!$C$2,PlanAktarılacakSayfa!$C:$C,Düzeyler!H$3)-H14</f>
        <v>0</v>
      </c>
      <c r="I6" s="13">
        <f>COUNTIFS(PlanAktarılacakSayfa!$D:$D,Düzeyler!$C6,PlanAktarılacakSayfa!$G:$G,'Hedef Girişi'!$C$2,PlanAktarılacakSayfa!$C:$C,Düzeyler!I$3)-I14</f>
        <v>0</v>
      </c>
      <c r="J6" s="13">
        <f>COUNTIFS(PlanAktarılacakSayfa!$D:$D,Düzeyler!$C6,PlanAktarılacakSayfa!$G:$G,'Hedef Girişi'!$B$3,PlanAktarılacakSayfa!$C:$C,Düzeyler!J$3)-J14</f>
        <v>0</v>
      </c>
      <c r="K6" s="13">
        <f>COUNTIFS(PlanAktarılacakSayfa!$D:$D,Düzeyler!$C6,PlanAktarılacakSayfa!$G:$G,'Hedef Girişi'!$B$3,PlanAktarılacakSayfa!$C:$C,Düzeyler!K$3)-K14</f>
        <v>0</v>
      </c>
      <c r="L6" s="13">
        <f>COUNTIFS(PlanAktarılacakSayfa!$D:$D,Düzeyler!$C6,PlanAktarılacakSayfa!$G:$G,'Hedef Girişi'!$B$3,PlanAktarılacakSayfa!$C:$C,Düzeyler!L$3)-L14</f>
        <v>0</v>
      </c>
      <c r="M6" s="13">
        <f>COUNTIFS(PlanAktarılacakSayfa!$D:$D,Düzeyler!$C6,PlanAktarılacakSayfa!$G:$G,'Hedef Girişi'!$C$3,PlanAktarılacakSayfa!$C:$C,Düzeyler!M$3)-M14</f>
        <v>0</v>
      </c>
      <c r="N6" s="13">
        <f>COUNTIFS(PlanAktarılacakSayfa!$D:$D,Düzeyler!$C6,PlanAktarılacakSayfa!$G:$G,'Hedef Girişi'!$C$3,PlanAktarılacakSayfa!$C:$C,Düzeyler!N$3)-N14</f>
        <v>0</v>
      </c>
      <c r="O6" s="13">
        <f>COUNTIFS(PlanAktarılacakSayfa!$D:$D,Düzeyler!$C6,PlanAktarılacakSayfa!$G:$G,'Hedef Girişi'!$C$3,PlanAktarılacakSayfa!$C:$C,Düzeyler!O$3)-O14</f>
        <v>0</v>
      </c>
      <c r="P6" s="13">
        <f>COUNTIFS(PlanAktarılacakSayfa!$D:$D,Düzeyler!$C6,PlanAktarılacakSayfa!$G:$G,'Hedef Girişi'!$B$4,PlanAktarılacakSayfa!$C:$C,Düzeyler!P$3)-P14</f>
        <v>0</v>
      </c>
      <c r="Q6" s="13">
        <f>COUNTIFS(PlanAktarılacakSayfa!$D:$D,Düzeyler!$C6,PlanAktarılacakSayfa!$G:$G,'Hedef Girişi'!$B$4,PlanAktarılacakSayfa!$C:$C,Düzeyler!Q$3)-Q14</f>
        <v>0</v>
      </c>
      <c r="R6" s="13">
        <f>COUNTIFS(PlanAktarılacakSayfa!$D:$D,Düzeyler!$C6,PlanAktarılacakSayfa!$G:$G,'Hedef Girişi'!$B$4,PlanAktarılacakSayfa!$C:$C,Düzeyler!R$3)-R14</f>
        <v>0</v>
      </c>
      <c r="S6" s="13">
        <f>COUNTIFS(PlanAktarılacakSayfa!$D:$D,Düzeyler!$C6,PlanAktarılacakSayfa!$G:$G,'Hedef Girişi'!$C$4,PlanAktarılacakSayfa!$C:$C,Düzeyler!S$3)-S14</f>
        <v>0</v>
      </c>
      <c r="T6" s="13">
        <f>COUNTIFS(PlanAktarılacakSayfa!$D:$D,Düzeyler!$C6,PlanAktarılacakSayfa!$G:$G,'Hedef Girişi'!$C$4,PlanAktarılacakSayfa!$C:$C,Düzeyler!T$3)-T14</f>
        <v>0</v>
      </c>
      <c r="U6" s="13">
        <f>COUNTIFS(PlanAktarılacakSayfa!$D:$D,Düzeyler!$C6,PlanAktarılacakSayfa!$G:$G,'Hedef Girişi'!$C$4,PlanAktarılacakSayfa!$C:$C,Düzeyler!U$3)-U14</f>
        <v>0</v>
      </c>
      <c r="V6" s="23" t="s">
        <v>309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1</v>
      </c>
      <c r="AJ6" s="2">
        <v>1</v>
      </c>
      <c r="AK6" s="2">
        <v>1</v>
      </c>
      <c r="AL6" s="2">
        <v>1</v>
      </c>
      <c r="AM6" s="2">
        <v>1</v>
      </c>
      <c r="AN6" s="2">
        <v>1</v>
      </c>
      <c r="AO6" s="2" t="str">
        <f>IF(ISERROR(OR(SEARCH("Bilim ve Sanat Merkezi",W24),SEARCH("BİLSEM",W24))),"","Değerlendirilen Okul Türü")</f>
        <v/>
      </c>
    </row>
    <row r="7" spans="1:41" ht="45" x14ac:dyDescent="0.25">
      <c r="A7" s="58"/>
      <c r="B7" s="20" t="s">
        <v>1</v>
      </c>
      <c r="C7" s="21" t="s">
        <v>318</v>
      </c>
      <c r="D7" s="13">
        <f>COUNTIFS(PlanAktarılacakSayfa!$D:$D,Düzeyler!$C7,PlanAktarılacakSayfa!$G:$G,'Hedef Girişi'!$B$2,PlanAktarılacakSayfa!$C:$C,Düzeyler!D$3)-D15</f>
        <v>0</v>
      </c>
      <c r="E7" s="13">
        <f>COUNTIFS(PlanAktarılacakSayfa!$D:$D,Düzeyler!$C7,PlanAktarılacakSayfa!$G:$G,'Hedef Girişi'!$B$2,PlanAktarılacakSayfa!$C:$C,Düzeyler!E$3)-E15</f>
        <v>0</v>
      </c>
      <c r="F7" s="13">
        <f>COUNTIFS(PlanAktarılacakSayfa!$D:$D,Düzeyler!$C7,PlanAktarılacakSayfa!$G:$G,'Hedef Girişi'!$B$2,PlanAktarılacakSayfa!$C:$C,Düzeyler!F$3)-F15</f>
        <v>0</v>
      </c>
      <c r="G7" s="13">
        <f>COUNTIFS(PlanAktarılacakSayfa!$D:$D,Düzeyler!$C7,PlanAktarılacakSayfa!$G:$G,'Hedef Girişi'!$C$2,PlanAktarılacakSayfa!$C:$C,Düzeyler!G$3)-G15</f>
        <v>0</v>
      </c>
      <c r="H7" s="13">
        <f>COUNTIFS(PlanAktarılacakSayfa!$D:$D,Düzeyler!$C7,PlanAktarılacakSayfa!$G:$G,'Hedef Girişi'!$C$2,PlanAktarılacakSayfa!$C:$C,Düzeyler!H$3)-H15</f>
        <v>0</v>
      </c>
      <c r="I7" s="13">
        <f>COUNTIFS(PlanAktarılacakSayfa!$D:$D,Düzeyler!$C7,PlanAktarılacakSayfa!$G:$G,'Hedef Girişi'!$C$2,PlanAktarılacakSayfa!$C:$C,Düzeyler!I$3)-I15</f>
        <v>0</v>
      </c>
      <c r="J7" s="13">
        <f>COUNTIFS(PlanAktarılacakSayfa!$D:$D,Düzeyler!$C7,PlanAktarılacakSayfa!$G:$G,'Hedef Girişi'!$B$3,PlanAktarılacakSayfa!$C:$C,Düzeyler!J$3)-J15</f>
        <v>0</v>
      </c>
      <c r="K7" s="13">
        <f>COUNTIFS(PlanAktarılacakSayfa!$D:$D,Düzeyler!$C7,PlanAktarılacakSayfa!$G:$G,'Hedef Girişi'!$B$3,PlanAktarılacakSayfa!$C:$C,Düzeyler!K$3)-K15</f>
        <v>0</v>
      </c>
      <c r="L7" s="13">
        <f>COUNTIFS(PlanAktarılacakSayfa!$D:$D,Düzeyler!$C7,PlanAktarılacakSayfa!$G:$G,'Hedef Girişi'!$B$3,PlanAktarılacakSayfa!$C:$C,Düzeyler!L$3)-L15</f>
        <v>0</v>
      </c>
      <c r="M7" s="13">
        <f>COUNTIFS(PlanAktarılacakSayfa!$D:$D,Düzeyler!$C7,PlanAktarılacakSayfa!$G:$G,'Hedef Girişi'!$C$3,PlanAktarılacakSayfa!$C:$C,Düzeyler!M$3)-M15</f>
        <v>0</v>
      </c>
      <c r="N7" s="13">
        <f>COUNTIFS(PlanAktarılacakSayfa!$D:$D,Düzeyler!$C7,PlanAktarılacakSayfa!$G:$G,'Hedef Girişi'!$C$3,PlanAktarılacakSayfa!$C:$C,Düzeyler!N$3)-N15</f>
        <v>0</v>
      </c>
      <c r="O7" s="13">
        <f>COUNTIFS(PlanAktarılacakSayfa!$D:$D,Düzeyler!$C7,PlanAktarılacakSayfa!$G:$G,'Hedef Girişi'!$C$3,PlanAktarılacakSayfa!$C:$C,Düzeyler!O$3)-O15</f>
        <v>0</v>
      </c>
      <c r="P7" s="13">
        <f>COUNTIFS(PlanAktarılacakSayfa!$D:$D,Düzeyler!$C7,PlanAktarılacakSayfa!$G:$G,'Hedef Girişi'!$B$4,PlanAktarılacakSayfa!$C:$C,Düzeyler!P$3)-P15</f>
        <v>0</v>
      </c>
      <c r="Q7" s="13">
        <f>COUNTIFS(PlanAktarılacakSayfa!$D:$D,Düzeyler!$C7,PlanAktarılacakSayfa!$G:$G,'Hedef Girişi'!$B$4,PlanAktarılacakSayfa!$C:$C,Düzeyler!Q$3)-Q15</f>
        <v>0</v>
      </c>
      <c r="R7" s="13">
        <f>COUNTIFS(PlanAktarılacakSayfa!$D:$D,Düzeyler!$C7,PlanAktarılacakSayfa!$G:$G,'Hedef Girişi'!$B$4,PlanAktarılacakSayfa!$C:$C,Düzeyler!R$3)-R15</f>
        <v>0</v>
      </c>
      <c r="S7" s="13">
        <f>COUNTIFS(PlanAktarılacakSayfa!$D:$D,Düzeyler!$C7,PlanAktarılacakSayfa!$G:$G,'Hedef Girişi'!$C$4,PlanAktarılacakSayfa!$C:$C,Düzeyler!S$3)-S15</f>
        <v>0</v>
      </c>
      <c r="T7" s="13">
        <f>COUNTIFS(PlanAktarılacakSayfa!$D:$D,Düzeyler!$C7,PlanAktarılacakSayfa!$G:$G,'Hedef Girişi'!$C$4,PlanAktarılacakSayfa!$C:$C,Düzeyler!T$3)-T15</f>
        <v>0</v>
      </c>
      <c r="U7" s="13">
        <f>COUNTIFS(PlanAktarılacakSayfa!$D:$D,Düzeyler!$C7,PlanAktarılacakSayfa!$G:$G,'Hedef Girişi'!$C$4,PlanAktarılacakSayfa!$C:$C,Düzeyler!U$3)-U15</f>
        <v>0</v>
      </c>
      <c r="V7" s="23" t="s">
        <v>372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</v>
      </c>
      <c r="AH7" s="2">
        <v>0</v>
      </c>
      <c r="AI7" s="2">
        <v>1</v>
      </c>
      <c r="AJ7" s="2">
        <v>0</v>
      </c>
      <c r="AK7" s="2">
        <v>0</v>
      </c>
      <c r="AL7" s="2">
        <v>1</v>
      </c>
      <c r="AM7" s="2">
        <v>0</v>
      </c>
      <c r="AN7" s="2">
        <v>0</v>
      </c>
      <c r="AO7" s="2" t="str">
        <f>IF(ISERROR(SEARCH("Halk Eğitimi Merkezi",W24)),"","Değerlendirilen Okul Türü")</f>
        <v/>
      </c>
    </row>
    <row r="8" spans="1:41" ht="45" x14ac:dyDescent="0.25">
      <c r="A8" s="58"/>
      <c r="B8" s="20" t="s">
        <v>2</v>
      </c>
      <c r="C8" s="21" t="s">
        <v>321</v>
      </c>
      <c r="D8" s="13">
        <f>COUNTIFS(PlanAktarılacakSayfa!$D:$D,Düzeyler!$C8,PlanAktarılacakSayfa!$G:$G,'Hedef Girişi'!$B$2,PlanAktarılacakSayfa!$C:$C,Düzeyler!D$3)-D16</f>
        <v>0</v>
      </c>
      <c r="E8" s="13">
        <f>COUNTIFS(PlanAktarılacakSayfa!$D:$D,Düzeyler!$C8,PlanAktarılacakSayfa!$G:$G,'Hedef Girişi'!$B$2,PlanAktarılacakSayfa!$C:$C,Düzeyler!E$3)-E16</f>
        <v>0</v>
      </c>
      <c r="F8" s="13">
        <f>COUNTIFS(PlanAktarılacakSayfa!$D:$D,Düzeyler!$C8,PlanAktarılacakSayfa!$G:$G,'Hedef Girişi'!$B$2,PlanAktarılacakSayfa!$C:$C,Düzeyler!F$3)-F16</f>
        <v>0</v>
      </c>
      <c r="G8" s="13">
        <f>COUNTIFS(PlanAktarılacakSayfa!$D:$D,Düzeyler!$C8,PlanAktarılacakSayfa!$G:$G,'Hedef Girişi'!$C$2,PlanAktarılacakSayfa!$C:$C,Düzeyler!G$3)-G16</f>
        <v>0</v>
      </c>
      <c r="H8" s="13">
        <f>COUNTIFS(PlanAktarılacakSayfa!$D:$D,Düzeyler!$C8,PlanAktarılacakSayfa!$G:$G,'Hedef Girişi'!$C$2,PlanAktarılacakSayfa!$C:$C,Düzeyler!H$3)-H16</f>
        <v>0</v>
      </c>
      <c r="I8" s="13">
        <f>COUNTIFS(PlanAktarılacakSayfa!$D:$D,Düzeyler!$C8,PlanAktarılacakSayfa!$G:$G,'Hedef Girişi'!$C$2,PlanAktarılacakSayfa!$C:$C,Düzeyler!I$3)-I16</f>
        <v>0</v>
      </c>
      <c r="J8" s="13">
        <f>COUNTIFS(PlanAktarılacakSayfa!$D:$D,Düzeyler!$C8,PlanAktarılacakSayfa!$G:$G,'Hedef Girişi'!$B$3,PlanAktarılacakSayfa!$C:$C,Düzeyler!J$3)-J16</f>
        <v>0</v>
      </c>
      <c r="K8" s="13">
        <f>COUNTIFS(PlanAktarılacakSayfa!$D:$D,Düzeyler!$C8,PlanAktarılacakSayfa!$G:$G,'Hedef Girişi'!$B$3,PlanAktarılacakSayfa!$C:$C,Düzeyler!K$3)-K16</f>
        <v>0</v>
      </c>
      <c r="L8" s="13">
        <f>COUNTIFS(PlanAktarılacakSayfa!$D:$D,Düzeyler!$C8,PlanAktarılacakSayfa!$G:$G,'Hedef Girişi'!$B$3,PlanAktarılacakSayfa!$C:$C,Düzeyler!L$3)-L16</f>
        <v>0</v>
      </c>
      <c r="M8" s="13">
        <f>COUNTIFS(PlanAktarılacakSayfa!$D:$D,Düzeyler!$C8,PlanAktarılacakSayfa!$G:$G,'Hedef Girişi'!$C$3,PlanAktarılacakSayfa!$C:$C,Düzeyler!M$3)-M16</f>
        <v>0</v>
      </c>
      <c r="N8" s="13">
        <f>COUNTIFS(PlanAktarılacakSayfa!$D:$D,Düzeyler!$C8,PlanAktarılacakSayfa!$G:$G,'Hedef Girişi'!$C$3,PlanAktarılacakSayfa!$C:$C,Düzeyler!N$3)-N16</f>
        <v>0</v>
      </c>
      <c r="O8" s="13">
        <f>COUNTIFS(PlanAktarılacakSayfa!$D:$D,Düzeyler!$C8,PlanAktarılacakSayfa!$G:$G,'Hedef Girişi'!$C$3,PlanAktarılacakSayfa!$C:$C,Düzeyler!O$3)-O16</f>
        <v>0</v>
      </c>
      <c r="P8" s="13">
        <f>COUNTIFS(PlanAktarılacakSayfa!$D:$D,Düzeyler!$C8,PlanAktarılacakSayfa!$G:$G,'Hedef Girişi'!$B$4,PlanAktarılacakSayfa!$C:$C,Düzeyler!P$3)-P16</f>
        <v>0</v>
      </c>
      <c r="Q8" s="13">
        <f>COUNTIFS(PlanAktarılacakSayfa!$D:$D,Düzeyler!$C8,PlanAktarılacakSayfa!$G:$G,'Hedef Girişi'!$B$4,PlanAktarılacakSayfa!$C:$C,Düzeyler!Q$3)-Q16</f>
        <v>0</v>
      </c>
      <c r="R8" s="13">
        <f>COUNTIFS(PlanAktarılacakSayfa!$D:$D,Düzeyler!$C8,PlanAktarılacakSayfa!$G:$G,'Hedef Girişi'!$B$4,PlanAktarılacakSayfa!$C:$C,Düzeyler!R$3)-R16</f>
        <v>0</v>
      </c>
      <c r="S8" s="13">
        <f>COUNTIFS(PlanAktarılacakSayfa!$D:$D,Düzeyler!$C8,PlanAktarılacakSayfa!$G:$G,'Hedef Girişi'!$C$4,PlanAktarılacakSayfa!$C:$C,Düzeyler!S$3)-S16</f>
        <v>0</v>
      </c>
      <c r="T8" s="13">
        <f>COUNTIFS(PlanAktarılacakSayfa!$D:$D,Düzeyler!$C8,PlanAktarılacakSayfa!$G:$G,'Hedef Girişi'!$C$4,PlanAktarılacakSayfa!$C:$C,Düzeyler!T$3)-T16</f>
        <v>0</v>
      </c>
      <c r="U8" s="13">
        <f>COUNTIFS(PlanAktarılacakSayfa!$D:$D,Düzeyler!$C8,PlanAktarılacakSayfa!$G:$G,'Hedef Girişi'!$C$4,PlanAktarılacakSayfa!$C:$C,Düzeyler!U$3)-U16</f>
        <v>0</v>
      </c>
      <c r="V8" s="23" t="s">
        <v>371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1</v>
      </c>
      <c r="AJ8" s="2">
        <v>1</v>
      </c>
      <c r="AK8" s="2">
        <v>1</v>
      </c>
      <c r="AL8" s="2">
        <v>1</v>
      </c>
      <c r="AM8" s="2">
        <v>1</v>
      </c>
      <c r="AN8" s="2">
        <v>1</v>
      </c>
      <c r="AO8" s="2" t="str">
        <f>IF(ISERROR(SEARCH("Mesleki Eğitim Merkezi",W24)),"","Değerlendirilen Okul Türü")</f>
        <v/>
      </c>
    </row>
    <row r="9" spans="1:41" x14ac:dyDescent="0.25">
      <c r="A9" s="58"/>
      <c r="B9" s="20" t="s">
        <v>3</v>
      </c>
      <c r="C9" s="21" t="s">
        <v>355</v>
      </c>
      <c r="D9" s="13">
        <f>COUNTIFS(PlanAktarılacakSayfa!$D:$D,Düzeyler!$C9,PlanAktarılacakSayfa!$G:$G,'Hedef Girişi'!$B$2,PlanAktarılacakSayfa!$C:$C,Düzeyler!D$3)</f>
        <v>0</v>
      </c>
      <c r="E9" s="13">
        <f>COUNTIFS(PlanAktarılacakSayfa!$D:$D,Düzeyler!$C9,PlanAktarılacakSayfa!$G:$G,'Hedef Girişi'!$B$2,PlanAktarılacakSayfa!$C:$C,Düzeyler!E$3)</f>
        <v>0</v>
      </c>
      <c r="F9" s="13">
        <f>COUNTIFS(PlanAktarılacakSayfa!$D:$D,Düzeyler!$C9,PlanAktarılacakSayfa!$G:$G,'Hedef Girişi'!$B$2,PlanAktarılacakSayfa!$C:$C,Düzeyler!F$3)</f>
        <v>0</v>
      </c>
      <c r="G9" s="13">
        <f>COUNTIFS(PlanAktarılacakSayfa!$D:$D,Düzeyler!$C9,PlanAktarılacakSayfa!$G:$G,'Hedef Girişi'!$C$2,PlanAktarılacakSayfa!$C:$C,Düzeyler!G$3)</f>
        <v>0</v>
      </c>
      <c r="H9" s="13">
        <f>COUNTIFS(PlanAktarılacakSayfa!$D:$D,Düzeyler!$C9,PlanAktarılacakSayfa!$G:$G,'Hedef Girişi'!$C$2,PlanAktarılacakSayfa!$C:$C,Düzeyler!H$3)</f>
        <v>0</v>
      </c>
      <c r="I9" s="13">
        <f>COUNTIFS(PlanAktarılacakSayfa!$D:$D,Düzeyler!$C9,PlanAktarılacakSayfa!$G:$G,'Hedef Girişi'!$C$2,PlanAktarılacakSayfa!$C:$C,Düzeyler!I$3)</f>
        <v>0</v>
      </c>
      <c r="J9" s="13">
        <f>COUNTIFS(PlanAktarılacakSayfa!$D:$D,Düzeyler!$C9,PlanAktarılacakSayfa!$G:$G,'Hedef Girişi'!$B$3,PlanAktarılacakSayfa!$C:$C,Düzeyler!J$3)</f>
        <v>0</v>
      </c>
      <c r="K9" s="13">
        <f>COUNTIFS(PlanAktarılacakSayfa!$D:$D,Düzeyler!$C9,PlanAktarılacakSayfa!$G:$G,'Hedef Girişi'!$B$3,PlanAktarılacakSayfa!$C:$C,Düzeyler!K$3)</f>
        <v>0</v>
      </c>
      <c r="L9" s="13">
        <f>COUNTIFS(PlanAktarılacakSayfa!$D:$D,Düzeyler!$C9,PlanAktarılacakSayfa!$G:$G,'Hedef Girişi'!$B$3,PlanAktarılacakSayfa!$C:$C,Düzeyler!L$3)</f>
        <v>0</v>
      </c>
      <c r="M9" s="13">
        <f>COUNTIFS(PlanAktarılacakSayfa!$D:$D,Düzeyler!$C9,PlanAktarılacakSayfa!$G:$G,'Hedef Girişi'!$C$3,PlanAktarılacakSayfa!$C:$C,Düzeyler!M$3)</f>
        <v>0</v>
      </c>
      <c r="N9" s="13">
        <f>COUNTIFS(PlanAktarılacakSayfa!$D:$D,Düzeyler!$C9,PlanAktarılacakSayfa!$G:$G,'Hedef Girişi'!$C$3,PlanAktarılacakSayfa!$C:$C,Düzeyler!N$3)</f>
        <v>0</v>
      </c>
      <c r="O9" s="13">
        <f>COUNTIFS(PlanAktarılacakSayfa!$D:$D,Düzeyler!$C9,PlanAktarılacakSayfa!$G:$G,'Hedef Girişi'!$C$3,PlanAktarılacakSayfa!$C:$C,Düzeyler!O$3)</f>
        <v>0</v>
      </c>
      <c r="P9" s="13">
        <f>COUNTIFS(PlanAktarılacakSayfa!$D:$D,Düzeyler!$C9,PlanAktarılacakSayfa!$G:$G,'Hedef Girişi'!$B$4,PlanAktarılacakSayfa!$C:$C,Düzeyler!P$3)</f>
        <v>0</v>
      </c>
      <c r="Q9" s="13">
        <f>COUNTIFS(PlanAktarılacakSayfa!$D:$D,Düzeyler!$C9,PlanAktarılacakSayfa!$G:$G,'Hedef Girişi'!$B$4,PlanAktarılacakSayfa!$C:$C,Düzeyler!Q$3)</f>
        <v>0</v>
      </c>
      <c r="R9" s="13">
        <f>COUNTIFS(PlanAktarılacakSayfa!$D:$D,Düzeyler!$C9,PlanAktarılacakSayfa!$G:$G,'Hedef Girişi'!$B$4,PlanAktarılacakSayfa!$C:$C,Düzeyler!R$3)</f>
        <v>0</v>
      </c>
      <c r="S9" s="13">
        <f>COUNTIFS(PlanAktarılacakSayfa!$D:$D,Düzeyler!$C9,PlanAktarılacakSayfa!$G:$G,'Hedef Girişi'!$C$4,PlanAktarılacakSayfa!$C:$C,Düzeyler!S$3)</f>
        <v>0</v>
      </c>
      <c r="T9" s="13">
        <f>COUNTIFS(PlanAktarılacakSayfa!$D:$D,Düzeyler!$C9,PlanAktarılacakSayfa!$G:$G,'Hedef Girişi'!$C$4,PlanAktarılacakSayfa!$C:$C,Düzeyler!T$3)</f>
        <v>0</v>
      </c>
      <c r="U9" s="13">
        <f>COUNTIFS(PlanAktarılacakSayfa!$D:$D,Düzeyler!$C9,PlanAktarılacakSayfa!$G:$G,'Hedef Girişi'!$C$4,PlanAktarılacakSayfa!$C:$C,Düzeyler!U$3)</f>
        <v>0</v>
      </c>
    </row>
    <row r="10" spans="1:41" x14ac:dyDescent="0.25">
      <c r="A10" s="58"/>
      <c r="B10" s="20" t="s">
        <v>4</v>
      </c>
      <c r="C10" s="21" t="s">
        <v>356</v>
      </c>
      <c r="D10" s="13">
        <f>COUNTIFS(PlanAktarılacakSayfa!$D:$D,Düzeyler!$C10,PlanAktarılacakSayfa!$G:$G,'Hedef Girişi'!$B$2,PlanAktarılacakSayfa!$C:$C,Düzeyler!D$3)</f>
        <v>0</v>
      </c>
      <c r="E10" s="13">
        <f>COUNTIFS(PlanAktarılacakSayfa!$D:$D,Düzeyler!$C10,PlanAktarılacakSayfa!$G:$G,'Hedef Girişi'!$B$2,PlanAktarılacakSayfa!$C:$C,Düzeyler!E$3)</f>
        <v>0</v>
      </c>
      <c r="F10" s="13">
        <f>COUNTIFS(PlanAktarılacakSayfa!$D:$D,Düzeyler!$C10,PlanAktarılacakSayfa!$G:$G,'Hedef Girişi'!$B$2,PlanAktarılacakSayfa!$C:$C,Düzeyler!F$3)</f>
        <v>0</v>
      </c>
      <c r="G10" s="13">
        <f>COUNTIFS(PlanAktarılacakSayfa!$D:$D,Düzeyler!$C10,PlanAktarılacakSayfa!$G:$G,'Hedef Girişi'!$C$2,PlanAktarılacakSayfa!$C:$C,Düzeyler!G$3)</f>
        <v>0</v>
      </c>
      <c r="H10" s="13">
        <f>COUNTIFS(PlanAktarılacakSayfa!$D:$D,Düzeyler!$C10,PlanAktarılacakSayfa!$G:$G,'Hedef Girişi'!$C$2,PlanAktarılacakSayfa!$C:$C,Düzeyler!H$3)</f>
        <v>0</v>
      </c>
      <c r="I10" s="13">
        <f>COUNTIFS(PlanAktarılacakSayfa!$D:$D,Düzeyler!$C10,PlanAktarılacakSayfa!$G:$G,'Hedef Girişi'!$C$2,PlanAktarılacakSayfa!$C:$C,Düzeyler!I$3)</f>
        <v>0</v>
      </c>
      <c r="J10" s="13">
        <f>COUNTIFS(PlanAktarılacakSayfa!$D:$D,Düzeyler!$C10,PlanAktarılacakSayfa!$G:$G,'Hedef Girişi'!$B$3,PlanAktarılacakSayfa!$C:$C,Düzeyler!J$3)</f>
        <v>0</v>
      </c>
      <c r="K10" s="13">
        <f>COUNTIFS(PlanAktarılacakSayfa!$D:$D,Düzeyler!$C10,PlanAktarılacakSayfa!$G:$G,'Hedef Girişi'!$B$3,PlanAktarılacakSayfa!$C:$C,Düzeyler!K$3)</f>
        <v>0</v>
      </c>
      <c r="L10" s="13">
        <f>COUNTIFS(PlanAktarılacakSayfa!$D:$D,Düzeyler!$C10,PlanAktarılacakSayfa!$G:$G,'Hedef Girişi'!$B$3,PlanAktarılacakSayfa!$C:$C,Düzeyler!L$3)</f>
        <v>0</v>
      </c>
      <c r="M10" s="13">
        <f>COUNTIFS(PlanAktarılacakSayfa!$D:$D,Düzeyler!$C10,PlanAktarılacakSayfa!$G:$G,'Hedef Girişi'!$C$3,PlanAktarılacakSayfa!$C:$C,Düzeyler!M$3)</f>
        <v>0</v>
      </c>
      <c r="N10" s="13">
        <f>COUNTIFS(PlanAktarılacakSayfa!$D:$D,Düzeyler!$C10,PlanAktarılacakSayfa!$G:$G,'Hedef Girişi'!$C$3,PlanAktarılacakSayfa!$C:$C,Düzeyler!N$3)</f>
        <v>0</v>
      </c>
      <c r="O10" s="13">
        <f>COUNTIFS(PlanAktarılacakSayfa!$D:$D,Düzeyler!$C10,PlanAktarılacakSayfa!$G:$G,'Hedef Girişi'!$C$3,PlanAktarılacakSayfa!$C:$C,Düzeyler!O$3)</f>
        <v>0</v>
      </c>
      <c r="P10" s="13">
        <f>COUNTIFS(PlanAktarılacakSayfa!$D:$D,Düzeyler!$C10,PlanAktarılacakSayfa!$G:$G,'Hedef Girişi'!$B$4,PlanAktarılacakSayfa!$C:$C,Düzeyler!P$3)</f>
        <v>0</v>
      </c>
      <c r="Q10" s="13">
        <f>COUNTIFS(PlanAktarılacakSayfa!$D:$D,Düzeyler!$C10,PlanAktarılacakSayfa!$G:$G,'Hedef Girişi'!$B$4,PlanAktarılacakSayfa!$C:$C,Düzeyler!Q$3)</f>
        <v>0</v>
      </c>
      <c r="R10" s="13">
        <f>COUNTIFS(PlanAktarılacakSayfa!$D:$D,Düzeyler!$C10,PlanAktarılacakSayfa!$G:$G,'Hedef Girişi'!$B$4,PlanAktarılacakSayfa!$C:$C,Düzeyler!R$3)</f>
        <v>0</v>
      </c>
      <c r="S10" s="13">
        <f>COUNTIFS(PlanAktarılacakSayfa!$D:$D,Düzeyler!$C10,PlanAktarılacakSayfa!$G:$G,'Hedef Girişi'!$C$4,PlanAktarılacakSayfa!$C:$C,Düzeyler!S$3)</f>
        <v>0</v>
      </c>
      <c r="T10" s="13">
        <f>COUNTIFS(PlanAktarılacakSayfa!$D:$D,Düzeyler!$C10,PlanAktarılacakSayfa!$G:$G,'Hedef Girişi'!$C$4,PlanAktarılacakSayfa!$C:$C,Düzeyler!T$3)</f>
        <v>0</v>
      </c>
      <c r="U10" s="13">
        <f>COUNTIFS(PlanAktarılacakSayfa!$D:$D,Düzeyler!$C10,PlanAktarılacakSayfa!$G:$G,'Hedef Girişi'!$C$4,PlanAktarılacakSayfa!$C:$C,Düzeyler!U$3)</f>
        <v>0</v>
      </c>
    </row>
    <row r="11" spans="1:41" x14ac:dyDescent="0.25">
      <c r="A11" s="58"/>
      <c r="B11" s="20" t="s">
        <v>5</v>
      </c>
      <c r="C11" s="21" t="s">
        <v>357</v>
      </c>
      <c r="D11" s="13">
        <f>COUNTIFS(PlanAktarılacakSayfa!$D:$D,Düzeyler!$C11,PlanAktarılacakSayfa!$G:$G,'Hedef Girişi'!$B$2,PlanAktarılacakSayfa!$C:$C,Düzeyler!D$3)</f>
        <v>0</v>
      </c>
      <c r="E11" s="13">
        <f>COUNTIFS(PlanAktarılacakSayfa!$D:$D,Düzeyler!$C11,PlanAktarılacakSayfa!$G:$G,'Hedef Girişi'!$B$2,PlanAktarılacakSayfa!$C:$C,Düzeyler!E$3)</f>
        <v>0</v>
      </c>
      <c r="F11" s="13">
        <f>COUNTIFS(PlanAktarılacakSayfa!$D:$D,Düzeyler!$C11,PlanAktarılacakSayfa!$G:$G,'Hedef Girişi'!$B$2,PlanAktarılacakSayfa!$C:$C,Düzeyler!F$3)</f>
        <v>0</v>
      </c>
      <c r="G11" s="13">
        <f>COUNTIFS(PlanAktarılacakSayfa!$D:$D,Düzeyler!$C11,PlanAktarılacakSayfa!$G:$G,'Hedef Girişi'!$C$2,PlanAktarılacakSayfa!$C:$C,Düzeyler!G$3)</f>
        <v>0</v>
      </c>
      <c r="H11" s="13">
        <f>COUNTIFS(PlanAktarılacakSayfa!$D:$D,Düzeyler!$C11,PlanAktarılacakSayfa!$G:$G,'Hedef Girişi'!$C$2,PlanAktarılacakSayfa!$C:$C,Düzeyler!H$3)</f>
        <v>0</v>
      </c>
      <c r="I11" s="13">
        <f>COUNTIFS(PlanAktarılacakSayfa!$D:$D,Düzeyler!$C11,PlanAktarılacakSayfa!$G:$G,'Hedef Girişi'!$C$2,PlanAktarılacakSayfa!$C:$C,Düzeyler!I$3)</f>
        <v>0</v>
      </c>
      <c r="J11" s="13">
        <f>COUNTIFS(PlanAktarılacakSayfa!$D:$D,Düzeyler!$C11,PlanAktarılacakSayfa!$G:$G,'Hedef Girişi'!$B$3,PlanAktarılacakSayfa!$C:$C,Düzeyler!J$3)</f>
        <v>0</v>
      </c>
      <c r="K11" s="13">
        <f>COUNTIFS(PlanAktarılacakSayfa!$D:$D,Düzeyler!$C11,PlanAktarılacakSayfa!$G:$G,'Hedef Girişi'!$B$3,PlanAktarılacakSayfa!$C:$C,Düzeyler!K$3)</f>
        <v>0</v>
      </c>
      <c r="L11" s="13">
        <f>COUNTIFS(PlanAktarılacakSayfa!$D:$D,Düzeyler!$C11,PlanAktarılacakSayfa!$G:$G,'Hedef Girişi'!$B$3,PlanAktarılacakSayfa!$C:$C,Düzeyler!L$3)</f>
        <v>0</v>
      </c>
      <c r="M11" s="13">
        <f>COUNTIFS(PlanAktarılacakSayfa!$D:$D,Düzeyler!$C11,PlanAktarılacakSayfa!$G:$G,'Hedef Girişi'!$C$3,PlanAktarılacakSayfa!$C:$C,Düzeyler!M$3)</f>
        <v>0</v>
      </c>
      <c r="N11" s="13">
        <f>COUNTIFS(PlanAktarılacakSayfa!$D:$D,Düzeyler!$C11,PlanAktarılacakSayfa!$G:$G,'Hedef Girişi'!$C$3,PlanAktarılacakSayfa!$C:$C,Düzeyler!N$3)</f>
        <v>0</v>
      </c>
      <c r="O11" s="13">
        <f>COUNTIFS(PlanAktarılacakSayfa!$D:$D,Düzeyler!$C11,PlanAktarılacakSayfa!$G:$G,'Hedef Girişi'!$C$3,PlanAktarılacakSayfa!$C:$C,Düzeyler!O$3)</f>
        <v>0</v>
      </c>
      <c r="P11" s="13">
        <f>COUNTIFS(PlanAktarılacakSayfa!$D:$D,Düzeyler!$C11,PlanAktarılacakSayfa!$G:$G,'Hedef Girişi'!$B$4,PlanAktarılacakSayfa!$C:$C,Düzeyler!P$3)</f>
        <v>0</v>
      </c>
      <c r="Q11" s="13">
        <f>COUNTIFS(PlanAktarılacakSayfa!$D:$D,Düzeyler!$C11,PlanAktarılacakSayfa!$G:$G,'Hedef Girişi'!$B$4,PlanAktarılacakSayfa!$C:$C,Düzeyler!Q$3)</f>
        <v>0</v>
      </c>
      <c r="R11" s="13">
        <f>COUNTIFS(PlanAktarılacakSayfa!$D:$D,Düzeyler!$C11,PlanAktarılacakSayfa!$G:$G,'Hedef Girişi'!$B$4,PlanAktarılacakSayfa!$C:$C,Düzeyler!R$3)</f>
        <v>0</v>
      </c>
      <c r="S11" s="13">
        <f>COUNTIFS(PlanAktarılacakSayfa!$D:$D,Düzeyler!$C11,PlanAktarılacakSayfa!$G:$G,'Hedef Girişi'!$C$4,PlanAktarılacakSayfa!$C:$C,Düzeyler!S$3)</f>
        <v>0</v>
      </c>
      <c r="T11" s="13">
        <f>COUNTIFS(PlanAktarılacakSayfa!$D:$D,Düzeyler!$C11,PlanAktarılacakSayfa!$G:$G,'Hedef Girişi'!$C$4,PlanAktarılacakSayfa!$C:$C,Düzeyler!T$3)</f>
        <v>0</v>
      </c>
      <c r="U11" s="13">
        <f>COUNTIFS(PlanAktarılacakSayfa!$D:$D,Düzeyler!$C11,PlanAktarılacakSayfa!$G:$G,'Hedef Girişi'!$C$4,PlanAktarılacakSayfa!$C:$C,Düzeyler!U$3)</f>
        <v>0</v>
      </c>
    </row>
    <row r="12" spans="1:41" x14ac:dyDescent="0.25">
      <c r="A12" s="58"/>
      <c r="B12" s="20" t="s">
        <v>7</v>
      </c>
      <c r="C12" s="21" t="s">
        <v>322</v>
      </c>
      <c r="D12" s="13">
        <f>COUNTIFS(PlanAktarılacakSayfa!$D:$D,Düzeyler!$C12,PlanAktarılacakSayfa!$G:$G,'Hedef Girişi'!$B$2,PlanAktarılacakSayfa!$C:$C,Düzeyler!D$3)-D20</f>
        <v>0</v>
      </c>
      <c r="E12" s="13">
        <f>COUNTIFS(PlanAktarılacakSayfa!$D:$D,Düzeyler!$C12,PlanAktarılacakSayfa!$G:$G,'Hedef Girişi'!$B$2,PlanAktarılacakSayfa!$C:$C,Düzeyler!E$3)-E20</f>
        <v>0</v>
      </c>
      <c r="F12" s="13">
        <f>COUNTIFS(PlanAktarılacakSayfa!$D:$D,Düzeyler!$C12,PlanAktarılacakSayfa!$G:$G,'Hedef Girişi'!$B$2,PlanAktarılacakSayfa!$C:$C,Düzeyler!F$3)-F20</f>
        <v>0</v>
      </c>
      <c r="G12" s="13">
        <f>COUNTIFS(PlanAktarılacakSayfa!$D:$D,Düzeyler!$C12,PlanAktarılacakSayfa!$G:$G,'Hedef Girişi'!$C$2,PlanAktarılacakSayfa!$C:$C,Düzeyler!G$3)-G20</f>
        <v>0</v>
      </c>
      <c r="H12" s="13">
        <f>COUNTIFS(PlanAktarılacakSayfa!$D:$D,Düzeyler!$C12,PlanAktarılacakSayfa!$G:$G,'Hedef Girişi'!$C$2,PlanAktarılacakSayfa!$C:$C,Düzeyler!H$3)-H20</f>
        <v>0</v>
      </c>
      <c r="I12" s="13">
        <f>COUNTIFS(PlanAktarılacakSayfa!$D:$D,Düzeyler!$C12,PlanAktarılacakSayfa!$G:$G,'Hedef Girişi'!$C$2,PlanAktarılacakSayfa!$C:$C,Düzeyler!I$3)-I20</f>
        <v>0</v>
      </c>
      <c r="J12" s="13">
        <f>COUNTIFS(PlanAktarılacakSayfa!$D:$D,Düzeyler!$C12,PlanAktarılacakSayfa!$G:$G,'Hedef Girişi'!$B$3,PlanAktarılacakSayfa!$C:$C,Düzeyler!J$3)-J20</f>
        <v>0</v>
      </c>
      <c r="K12" s="13">
        <f>COUNTIFS(PlanAktarılacakSayfa!$D:$D,Düzeyler!$C12,PlanAktarılacakSayfa!$G:$G,'Hedef Girişi'!$B$3,PlanAktarılacakSayfa!$C:$C,Düzeyler!K$3)-K20</f>
        <v>0</v>
      </c>
      <c r="L12" s="13">
        <f>COUNTIFS(PlanAktarılacakSayfa!$D:$D,Düzeyler!$C12,PlanAktarılacakSayfa!$G:$G,'Hedef Girişi'!$B$3,PlanAktarılacakSayfa!$C:$C,Düzeyler!L$3)-L20</f>
        <v>0</v>
      </c>
      <c r="M12" s="13">
        <f>COUNTIFS(PlanAktarılacakSayfa!$D:$D,Düzeyler!$C12,PlanAktarılacakSayfa!$G:$G,'Hedef Girişi'!$C$3,PlanAktarılacakSayfa!$C:$C,Düzeyler!M$3)-M20</f>
        <v>0</v>
      </c>
      <c r="N12" s="13">
        <f>COUNTIFS(PlanAktarılacakSayfa!$D:$D,Düzeyler!$C12,PlanAktarılacakSayfa!$G:$G,'Hedef Girişi'!$C$3,PlanAktarılacakSayfa!$C:$C,Düzeyler!N$3)-N20</f>
        <v>0</v>
      </c>
      <c r="O12" s="13">
        <f>COUNTIFS(PlanAktarılacakSayfa!$D:$D,Düzeyler!$C12,PlanAktarılacakSayfa!$G:$G,'Hedef Girişi'!$C$3,PlanAktarılacakSayfa!$C:$C,Düzeyler!O$3)-O20</f>
        <v>0</v>
      </c>
      <c r="P12" s="13">
        <f>COUNTIFS(PlanAktarılacakSayfa!$D:$D,Düzeyler!$C12,PlanAktarılacakSayfa!$G:$G,'Hedef Girişi'!$B$4,PlanAktarılacakSayfa!$C:$C,Düzeyler!P$3)-P20</f>
        <v>0</v>
      </c>
      <c r="Q12" s="13">
        <f>COUNTIFS(PlanAktarılacakSayfa!$D:$D,Düzeyler!$C12,PlanAktarılacakSayfa!$G:$G,'Hedef Girişi'!$B$4,PlanAktarılacakSayfa!$C:$C,Düzeyler!Q$3)-Q20</f>
        <v>0</v>
      </c>
      <c r="R12" s="13">
        <f>COUNTIFS(PlanAktarılacakSayfa!$D:$D,Düzeyler!$C12,PlanAktarılacakSayfa!$G:$G,'Hedef Girişi'!$B$4,PlanAktarılacakSayfa!$C:$C,Düzeyler!R$3)-R20</f>
        <v>0</v>
      </c>
      <c r="S12" s="13">
        <f>COUNTIFS(PlanAktarılacakSayfa!$D:$D,Düzeyler!$C12,PlanAktarılacakSayfa!$G:$G,'Hedef Girişi'!$C$4,PlanAktarılacakSayfa!$C:$C,Düzeyler!S$3)-S20</f>
        <v>0</v>
      </c>
      <c r="T12" s="13">
        <f>COUNTIFS(PlanAktarılacakSayfa!$D:$D,Düzeyler!$C12,PlanAktarılacakSayfa!$G:$G,'Hedef Girişi'!$C$4,PlanAktarılacakSayfa!$C:$C,Düzeyler!T$3)-T20</f>
        <v>0</v>
      </c>
      <c r="U12" s="13">
        <f>COUNTIFS(PlanAktarılacakSayfa!$D:$D,Düzeyler!$C12,PlanAktarılacakSayfa!$G:$G,'Hedef Girişi'!$C$4,PlanAktarılacakSayfa!$C:$C,Düzeyler!U$3)-U20</f>
        <v>0</v>
      </c>
    </row>
    <row r="13" spans="1:41" x14ac:dyDescent="0.25">
      <c r="A13" s="59" t="s">
        <v>56</v>
      </c>
      <c r="B13" s="24" t="s">
        <v>9</v>
      </c>
      <c r="C13" s="25" t="s">
        <v>358</v>
      </c>
      <c r="D13" s="14">
        <f>COUNTIFS(PlanAktarılacakSayfa!$D:$D,Düzeyler!$C13,PlanAktarılacakSayfa!$G:$G,'Hedef Girişi'!$B$2)-E13-F13</f>
        <v>0</v>
      </c>
      <c r="E13" s="14">
        <f>COUNTIFS(PlanAktarılacakSayfa!$D:$D,Düzeyler!$C13,PlanAktarılacakSayfa!$G:$G,'Hedef Girişi'!$B$2,PlanAktarılacakSayfa!$C:$C,Düzeyler!E$3)</f>
        <v>0</v>
      </c>
      <c r="F13" s="14">
        <f>COUNTIFS(PlanAktarılacakSayfa!$D:$D,Düzeyler!$C13,PlanAktarılacakSayfa!$G:$G,'Hedef Girişi'!$B$2,PlanAktarılacakSayfa!$C:$C,Düzeyler!F$3)</f>
        <v>0</v>
      </c>
      <c r="G13" s="14">
        <f>COUNTIFS(PlanAktarılacakSayfa!$D:$D,Düzeyler!$C13,PlanAktarılacakSayfa!$G:$G,'Hedef Girişi'!$C$2)-H13-I13</f>
        <v>0</v>
      </c>
      <c r="H13" s="14">
        <f>COUNTIFS(PlanAktarılacakSayfa!$D:$D,Düzeyler!$C13,PlanAktarılacakSayfa!$G:$G,'Hedef Girişi'!$C$2,PlanAktarılacakSayfa!$C:$C,Düzeyler!H$3)</f>
        <v>0</v>
      </c>
      <c r="I13" s="14">
        <f>COUNTIFS(PlanAktarılacakSayfa!$D:$D,Düzeyler!$C13,PlanAktarılacakSayfa!$G:$G,'Hedef Girişi'!$C$2,PlanAktarılacakSayfa!$C:$C,Düzeyler!I$3)</f>
        <v>0</v>
      </c>
      <c r="J13" s="14">
        <f>COUNTIFS(PlanAktarılacakSayfa!$D:$D,Düzeyler!$C13,PlanAktarılacakSayfa!$G:$G,'Hedef Girişi'!$B$3)-K13-L13</f>
        <v>0</v>
      </c>
      <c r="K13" s="14">
        <f>COUNTIFS(PlanAktarılacakSayfa!$D:$D,Düzeyler!$C13,PlanAktarılacakSayfa!$G:$G,'Hedef Girişi'!$B$3,PlanAktarılacakSayfa!$C:$C,Düzeyler!K$3)</f>
        <v>0</v>
      </c>
      <c r="L13" s="14">
        <f>COUNTIFS(PlanAktarılacakSayfa!$D:$D,Düzeyler!$C13,PlanAktarılacakSayfa!$G:$G,'Hedef Girişi'!$B$3,PlanAktarılacakSayfa!$C:$C,Düzeyler!L$3)</f>
        <v>0</v>
      </c>
      <c r="M13" s="14">
        <f>COUNTIFS(PlanAktarılacakSayfa!$D:$D,Düzeyler!$C13,PlanAktarılacakSayfa!$G:$G,'Hedef Girişi'!$C$3)-N13-O13</f>
        <v>0</v>
      </c>
      <c r="N13" s="14">
        <f>COUNTIFS(PlanAktarılacakSayfa!$D:$D,Düzeyler!$C13,PlanAktarılacakSayfa!$G:$G,'Hedef Girişi'!$C$3,PlanAktarılacakSayfa!$C:$C,Düzeyler!N$3)</f>
        <v>0</v>
      </c>
      <c r="O13" s="14">
        <f>COUNTIFS(PlanAktarılacakSayfa!$D:$D,Düzeyler!$C13,PlanAktarılacakSayfa!$G:$G,'Hedef Girişi'!$C$3,PlanAktarılacakSayfa!$C:$C,Düzeyler!O$3)</f>
        <v>0</v>
      </c>
      <c r="P13" s="14">
        <f>COUNTIFS(PlanAktarılacakSayfa!$D:$D,Düzeyler!$C13,PlanAktarılacakSayfa!$G:$G,'Hedef Girişi'!$B$4)-Q13-R13</f>
        <v>0</v>
      </c>
      <c r="Q13" s="14">
        <f>COUNTIFS(PlanAktarılacakSayfa!$D:$D,Düzeyler!$C13,PlanAktarılacakSayfa!$G:$G,'Hedef Girişi'!$B$4,PlanAktarılacakSayfa!$C:$C,Düzeyler!Q$3)</f>
        <v>0</v>
      </c>
      <c r="R13" s="14">
        <f>COUNTIFS(PlanAktarılacakSayfa!$D:$D,Düzeyler!$C13,PlanAktarılacakSayfa!$G:$G,'Hedef Girişi'!$B$4,PlanAktarılacakSayfa!$C:$C,Düzeyler!R$3)</f>
        <v>0</v>
      </c>
      <c r="S13" s="14">
        <f>COUNTIFS(PlanAktarılacakSayfa!$D:$D,Düzeyler!$C13,PlanAktarılacakSayfa!$G:$G,'Hedef Girişi'!$C$4)-T13-U13</f>
        <v>0</v>
      </c>
      <c r="T13" s="14">
        <f>COUNTIFS(PlanAktarılacakSayfa!$D:$D,Düzeyler!$C13,PlanAktarılacakSayfa!$G:$G,'Hedef Girişi'!$C$4,PlanAktarılacakSayfa!$C:$C,Düzeyler!T$3)</f>
        <v>0</v>
      </c>
      <c r="U13" s="14">
        <f>COUNTIFS(PlanAktarılacakSayfa!$D:$D,Düzeyler!$C13,PlanAktarılacakSayfa!$G:$G,'Hedef Girişi'!$C$4,PlanAktarılacakSayfa!$C:$C,Düzeyler!U$3)</f>
        <v>0</v>
      </c>
    </row>
    <row r="14" spans="1:41" x14ac:dyDescent="0.25">
      <c r="A14" s="59"/>
      <c r="B14" s="24" t="s">
        <v>9</v>
      </c>
      <c r="C14" s="25" t="s">
        <v>359</v>
      </c>
      <c r="D14" s="14">
        <f>COUNTIFS(PlanAktarılacakSayfa!$D:$D,Düzeyler!$C14,PlanAktarılacakSayfa!$G:$G,'Hedef Girişi'!$B$2)-E14-F14</f>
        <v>0</v>
      </c>
      <c r="E14" s="14">
        <f>COUNTIFS(PlanAktarılacakSayfa!$D:$D,Düzeyler!$C14,PlanAktarılacakSayfa!$G:$G,'Hedef Girişi'!$B$2,PlanAktarılacakSayfa!$C:$C,Düzeyler!E$3)</f>
        <v>0</v>
      </c>
      <c r="F14" s="14">
        <f>COUNTIFS(PlanAktarılacakSayfa!$D:$D,Düzeyler!$C14,PlanAktarılacakSayfa!$G:$G,'Hedef Girişi'!$B$2,PlanAktarılacakSayfa!$C:$C,Düzeyler!F$3)</f>
        <v>0</v>
      </c>
      <c r="G14" s="14">
        <f>COUNTIFS(PlanAktarılacakSayfa!$D:$D,Düzeyler!$C14,PlanAktarılacakSayfa!$G:$G,'Hedef Girişi'!$C$2)-H14-I14</f>
        <v>0</v>
      </c>
      <c r="H14" s="14">
        <f>COUNTIFS(PlanAktarılacakSayfa!$D:$D,Düzeyler!$C14,PlanAktarılacakSayfa!$G:$G,'Hedef Girişi'!$C$2,PlanAktarılacakSayfa!$C:$C,Düzeyler!H$3)</f>
        <v>0</v>
      </c>
      <c r="I14" s="14">
        <f>COUNTIFS(PlanAktarılacakSayfa!$D:$D,Düzeyler!$C14,PlanAktarılacakSayfa!$G:$G,'Hedef Girişi'!$C$2,PlanAktarılacakSayfa!$C:$C,Düzeyler!I$3)</f>
        <v>0</v>
      </c>
      <c r="J14" s="14">
        <f>COUNTIFS(PlanAktarılacakSayfa!$D:$D,Düzeyler!$C14,PlanAktarılacakSayfa!$G:$G,'Hedef Girişi'!$B$3)-K14-L14</f>
        <v>0</v>
      </c>
      <c r="K14" s="14">
        <f>COUNTIFS(PlanAktarılacakSayfa!$D:$D,Düzeyler!$C14,PlanAktarılacakSayfa!$G:$G,'Hedef Girişi'!$B$3,PlanAktarılacakSayfa!$C:$C,Düzeyler!K$3)</f>
        <v>0</v>
      </c>
      <c r="L14" s="14">
        <f>COUNTIFS(PlanAktarılacakSayfa!$D:$D,Düzeyler!$C14,PlanAktarılacakSayfa!$G:$G,'Hedef Girişi'!$B$3,PlanAktarılacakSayfa!$C:$C,Düzeyler!L$3)</f>
        <v>0</v>
      </c>
      <c r="M14" s="14">
        <f>COUNTIFS(PlanAktarılacakSayfa!$D:$D,Düzeyler!$C14,PlanAktarılacakSayfa!$G:$G,'Hedef Girişi'!$C$3)-N14-O14</f>
        <v>0</v>
      </c>
      <c r="N14" s="14">
        <f>COUNTIFS(PlanAktarılacakSayfa!$D:$D,Düzeyler!$C14,PlanAktarılacakSayfa!$G:$G,'Hedef Girişi'!$C$3,PlanAktarılacakSayfa!$C:$C,Düzeyler!N$3)</f>
        <v>0</v>
      </c>
      <c r="O14" s="14">
        <f>COUNTIFS(PlanAktarılacakSayfa!$D:$D,Düzeyler!$C14,PlanAktarılacakSayfa!$G:$G,'Hedef Girişi'!$C$3,PlanAktarılacakSayfa!$C:$C,Düzeyler!O$3)</f>
        <v>0</v>
      </c>
      <c r="P14" s="14">
        <f>COUNTIFS(PlanAktarılacakSayfa!$D:$D,Düzeyler!$C14,PlanAktarılacakSayfa!$G:$G,'Hedef Girişi'!$B$4)-Q14-R14</f>
        <v>0</v>
      </c>
      <c r="Q14" s="14">
        <f>COUNTIFS(PlanAktarılacakSayfa!$D:$D,Düzeyler!$C14,PlanAktarılacakSayfa!$G:$G,'Hedef Girişi'!$B$4,PlanAktarılacakSayfa!$C:$C,Düzeyler!Q$3)</f>
        <v>0</v>
      </c>
      <c r="R14" s="14">
        <f>COUNTIFS(PlanAktarılacakSayfa!$D:$D,Düzeyler!$C14,PlanAktarılacakSayfa!$G:$G,'Hedef Girişi'!$B$4,PlanAktarılacakSayfa!$C:$C,Düzeyler!R$3)</f>
        <v>0</v>
      </c>
      <c r="S14" s="14">
        <f>COUNTIFS(PlanAktarılacakSayfa!$D:$D,Düzeyler!$C14,PlanAktarılacakSayfa!$G:$G,'Hedef Girişi'!$C$4)-T14-U14</f>
        <v>0</v>
      </c>
      <c r="T14" s="14">
        <f>COUNTIFS(PlanAktarılacakSayfa!$D:$D,Düzeyler!$C14,PlanAktarılacakSayfa!$G:$G,'Hedef Girişi'!$C$4,PlanAktarılacakSayfa!$C:$C,Düzeyler!T$3)</f>
        <v>0</v>
      </c>
      <c r="U14" s="14">
        <f>COUNTIFS(PlanAktarılacakSayfa!$D:$D,Düzeyler!$C14,PlanAktarılacakSayfa!$G:$G,'Hedef Girişi'!$C$4,PlanAktarılacakSayfa!$C:$C,Düzeyler!U$3)</f>
        <v>0</v>
      </c>
    </row>
    <row r="15" spans="1:41" x14ac:dyDescent="0.25">
      <c r="A15" s="59"/>
      <c r="B15" s="24" t="s">
        <v>10</v>
      </c>
      <c r="C15" s="25" t="s">
        <v>360</v>
      </c>
      <c r="D15" s="14">
        <f>COUNTIFS(PlanAktarılacakSayfa!$D:$D,Düzeyler!$C15,PlanAktarılacakSayfa!$G:$G,'Hedef Girişi'!$B$2)-E15-F15</f>
        <v>0</v>
      </c>
      <c r="E15" s="14">
        <f>COUNTIFS(PlanAktarılacakSayfa!$D:$D,Düzeyler!$C15,PlanAktarılacakSayfa!$G:$G,'Hedef Girişi'!$B$2,PlanAktarılacakSayfa!$C:$C,Düzeyler!E$3)</f>
        <v>0</v>
      </c>
      <c r="F15" s="14">
        <f>COUNTIFS(PlanAktarılacakSayfa!$D:$D,Düzeyler!$C15,PlanAktarılacakSayfa!$G:$G,'Hedef Girişi'!$B$2,PlanAktarılacakSayfa!$C:$C,Düzeyler!F$3)</f>
        <v>0</v>
      </c>
      <c r="G15" s="14">
        <f>COUNTIFS(PlanAktarılacakSayfa!$D:$D,Düzeyler!$C15,PlanAktarılacakSayfa!$G:$G,'Hedef Girişi'!$C$2)-H15-I15</f>
        <v>0</v>
      </c>
      <c r="H15" s="14">
        <f>COUNTIFS(PlanAktarılacakSayfa!$D:$D,Düzeyler!$C15,PlanAktarılacakSayfa!$G:$G,'Hedef Girişi'!$C$2,PlanAktarılacakSayfa!$C:$C,Düzeyler!H$3)</f>
        <v>0</v>
      </c>
      <c r="I15" s="14">
        <f>COUNTIFS(PlanAktarılacakSayfa!$D:$D,Düzeyler!$C15,PlanAktarılacakSayfa!$G:$G,'Hedef Girişi'!$C$2,PlanAktarılacakSayfa!$C:$C,Düzeyler!I$3)</f>
        <v>0</v>
      </c>
      <c r="J15" s="14">
        <f>COUNTIFS(PlanAktarılacakSayfa!$D:$D,Düzeyler!$C15,PlanAktarılacakSayfa!$G:$G,'Hedef Girişi'!$B$3)-K15-L15</f>
        <v>0</v>
      </c>
      <c r="K15" s="14">
        <f>COUNTIFS(PlanAktarılacakSayfa!$D:$D,Düzeyler!$C15,PlanAktarılacakSayfa!$G:$G,'Hedef Girişi'!$B$3,PlanAktarılacakSayfa!$C:$C,Düzeyler!K$3)</f>
        <v>0</v>
      </c>
      <c r="L15" s="14">
        <f>COUNTIFS(PlanAktarılacakSayfa!$D:$D,Düzeyler!$C15,PlanAktarılacakSayfa!$G:$G,'Hedef Girişi'!$B$3,PlanAktarılacakSayfa!$C:$C,Düzeyler!L$3)</f>
        <v>0</v>
      </c>
      <c r="M15" s="14">
        <f>COUNTIFS(PlanAktarılacakSayfa!$D:$D,Düzeyler!$C15,PlanAktarılacakSayfa!$G:$G,'Hedef Girişi'!$C$3)-N15-O15</f>
        <v>0</v>
      </c>
      <c r="N15" s="14">
        <f>COUNTIFS(PlanAktarılacakSayfa!$D:$D,Düzeyler!$C15,PlanAktarılacakSayfa!$G:$G,'Hedef Girişi'!$C$3,PlanAktarılacakSayfa!$C:$C,Düzeyler!N$3)</f>
        <v>0</v>
      </c>
      <c r="O15" s="14">
        <f>COUNTIFS(PlanAktarılacakSayfa!$D:$D,Düzeyler!$C15,PlanAktarılacakSayfa!$G:$G,'Hedef Girişi'!$C$3,PlanAktarılacakSayfa!$C:$C,Düzeyler!O$3)</f>
        <v>0</v>
      </c>
      <c r="P15" s="14">
        <f>COUNTIFS(PlanAktarılacakSayfa!$D:$D,Düzeyler!$C15,PlanAktarılacakSayfa!$G:$G,'Hedef Girişi'!$B$4)-Q15-R15</f>
        <v>0</v>
      </c>
      <c r="Q15" s="14">
        <f>COUNTIFS(PlanAktarılacakSayfa!$D:$D,Düzeyler!$C15,PlanAktarılacakSayfa!$G:$G,'Hedef Girişi'!$B$4,PlanAktarılacakSayfa!$C:$C,Düzeyler!Q$3)</f>
        <v>0</v>
      </c>
      <c r="R15" s="14">
        <f>COUNTIFS(PlanAktarılacakSayfa!$D:$D,Düzeyler!$C15,PlanAktarılacakSayfa!$G:$G,'Hedef Girişi'!$B$4,PlanAktarılacakSayfa!$C:$C,Düzeyler!R$3)</f>
        <v>0</v>
      </c>
      <c r="S15" s="14">
        <f>COUNTIFS(PlanAktarılacakSayfa!$D:$D,Düzeyler!$C15,PlanAktarılacakSayfa!$G:$G,'Hedef Girişi'!$C$4)-T15-U15</f>
        <v>0</v>
      </c>
      <c r="T15" s="14">
        <f>COUNTIFS(PlanAktarılacakSayfa!$D:$D,Düzeyler!$C15,PlanAktarılacakSayfa!$G:$G,'Hedef Girişi'!$C$4,PlanAktarılacakSayfa!$C:$C,Düzeyler!T$3)</f>
        <v>0</v>
      </c>
      <c r="U15" s="14">
        <f>COUNTIFS(PlanAktarılacakSayfa!$D:$D,Düzeyler!$C15,PlanAktarılacakSayfa!$G:$G,'Hedef Girişi'!$C$4,PlanAktarılacakSayfa!$C:$C,Düzeyler!U$3)</f>
        <v>0</v>
      </c>
    </row>
    <row r="16" spans="1:41" x14ac:dyDescent="0.25">
      <c r="A16" s="59"/>
      <c r="B16" s="24" t="s">
        <v>11</v>
      </c>
      <c r="C16" s="25" t="s">
        <v>361</v>
      </c>
      <c r="D16" s="14">
        <f>COUNTIFS(PlanAktarılacakSayfa!$D:$D,Düzeyler!$C16,PlanAktarılacakSayfa!$G:$G,'Hedef Girişi'!$B$2)-E16-F16</f>
        <v>0</v>
      </c>
      <c r="E16" s="14">
        <f>COUNTIFS(PlanAktarılacakSayfa!$D:$D,Düzeyler!$C16,PlanAktarılacakSayfa!$G:$G,'Hedef Girişi'!$B$2,PlanAktarılacakSayfa!$C:$C,Düzeyler!E$3)</f>
        <v>0</v>
      </c>
      <c r="F16" s="14">
        <f>COUNTIFS(PlanAktarılacakSayfa!$D:$D,Düzeyler!$C16,PlanAktarılacakSayfa!$G:$G,'Hedef Girişi'!$B$2,PlanAktarılacakSayfa!$C:$C,Düzeyler!F$3)</f>
        <v>0</v>
      </c>
      <c r="G16" s="14">
        <f>COUNTIFS(PlanAktarılacakSayfa!$D:$D,Düzeyler!$C16,PlanAktarılacakSayfa!$G:$G,'Hedef Girişi'!$C$2)-H16-I16</f>
        <v>0</v>
      </c>
      <c r="H16" s="14">
        <f>COUNTIFS(PlanAktarılacakSayfa!$D:$D,Düzeyler!$C16,PlanAktarılacakSayfa!$G:$G,'Hedef Girişi'!$C$2,PlanAktarılacakSayfa!$C:$C,Düzeyler!H$3)</f>
        <v>0</v>
      </c>
      <c r="I16" s="14">
        <f>COUNTIFS(PlanAktarılacakSayfa!$D:$D,Düzeyler!$C16,PlanAktarılacakSayfa!$G:$G,'Hedef Girişi'!$C$2,PlanAktarılacakSayfa!$C:$C,Düzeyler!I$3)</f>
        <v>0</v>
      </c>
      <c r="J16" s="14">
        <f>COUNTIFS(PlanAktarılacakSayfa!$D:$D,Düzeyler!$C16,PlanAktarılacakSayfa!$G:$G,'Hedef Girişi'!$B$3)-K16-L16</f>
        <v>0</v>
      </c>
      <c r="K16" s="14">
        <f>COUNTIFS(PlanAktarılacakSayfa!$D:$D,Düzeyler!$C16,PlanAktarılacakSayfa!$G:$G,'Hedef Girişi'!$B$3,PlanAktarılacakSayfa!$C:$C,Düzeyler!K$3)</f>
        <v>0</v>
      </c>
      <c r="L16" s="14">
        <f>COUNTIFS(PlanAktarılacakSayfa!$D:$D,Düzeyler!$C16,PlanAktarılacakSayfa!$G:$G,'Hedef Girişi'!$B$3,PlanAktarılacakSayfa!$C:$C,Düzeyler!L$3)</f>
        <v>0</v>
      </c>
      <c r="M16" s="14">
        <f>COUNTIFS(PlanAktarılacakSayfa!$D:$D,Düzeyler!$C16,PlanAktarılacakSayfa!$G:$G,'Hedef Girişi'!$C$3)-N16-O16</f>
        <v>0</v>
      </c>
      <c r="N16" s="14">
        <f>COUNTIFS(PlanAktarılacakSayfa!$D:$D,Düzeyler!$C16,PlanAktarılacakSayfa!$G:$G,'Hedef Girişi'!$C$3,PlanAktarılacakSayfa!$C:$C,Düzeyler!N$3)</f>
        <v>0</v>
      </c>
      <c r="O16" s="14">
        <f>COUNTIFS(PlanAktarılacakSayfa!$D:$D,Düzeyler!$C16,PlanAktarılacakSayfa!$G:$G,'Hedef Girişi'!$C$3,PlanAktarılacakSayfa!$C:$C,Düzeyler!O$3)</f>
        <v>0</v>
      </c>
      <c r="P16" s="14">
        <f>COUNTIFS(PlanAktarılacakSayfa!$D:$D,Düzeyler!$C16,PlanAktarılacakSayfa!$G:$G,'Hedef Girişi'!$B$4)-Q16-R16</f>
        <v>0</v>
      </c>
      <c r="Q16" s="14">
        <f>COUNTIFS(PlanAktarılacakSayfa!$D:$D,Düzeyler!$C16,PlanAktarılacakSayfa!$G:$G,'Hedef Girişi'!$B$4,PlanAktarılacakSayfa!$C:$C,Düzeyler!Q$3)</f>
        <v>0</v>
      </c>
      <c r="R16" s="14">
        <f>COUNTIFS(PlanAktarılacakSayfa!$D:$D,Düzeyler!$C16,PlanAktarılacakSayfa!$G:$G,'Hedef Girişi'!$B$4,PlanAktarılacakSayfa!$C:$C,Düzeyler!R$3)</f>
        <v>0</v>
      </c>
      <c r="S16" s="14">
        <f>COUNTIFS(PlanAktarılacakSayfa!$D:$D,Düzeyler!$C16,PlanAktarılacakSayfa!$G:$G,'Hedef Girişi'!$C$4)-T16-U16</f>
        <v>0</v>
      </c>
      <c r="T16" s="14">
        <f>COUNTIFS(PlanAktarılacakSayfa!$D:$D,Düzeyler!$C16,PlanAktarılacakSayfa!$G:$G,'Hedef Girişi'!$C$4,PlanAktarılacakSayfa!$C:$C,Düzeyler!T$3)</f>
        <v>0</v>
      </c>
      <c r="U16" s="14">
        <f>COUNTIFS(PlanAktarılacakSayfa!$D:$D,Düzeyler!$C16,PlanAktarılacakSayfa!$G:$G,'Hedef Girişi'!$C$4,PlanAktarılacakSayfa!$C:$C,Düzeyler!U$3)</f>
        <v>0</v>
      </c>
    </row>
    <row r="17" spans="1:40" x14ac:dyDescent="0.25">
      <c r="A17" s="59"/>
      <c r="B17" s="24" t="s">
        <v>12</v>
      </c>
      <c r="C17" s="25" t="s">
        <v>362</v>
      </c>
      <c r="D17" s="14">
        <f>COUNTIFS(PlanAktarılacakSayfa!$D:$D,Düzeyler!$C17,PlanAktarılacakSayfa!$G:$G,'Hedef Girişi'!$B$2)-E17-F17</f>
        <v>0</v>
      </c>
      <c r="E17" s="14">
        <f>COUNTIFS(PlanAktarılacakSayfa!$D:$D,Düzeyler!$C17,PlanAktarılacakSayfa!$G:$G,'Hedef Girişi'!$B$2,PlanAktarılacakSayfa!$C:$C,Düzeyler!E$3)</f>
        <v>0</v>
      </c>
      <c r="F17" s="14">
        <f>COUNTIFS(PlanAktarılacakSayfa!$D:$D,Düzeyler!$C17,PlanAktarılacakSayfa!$G:$G,'Hedef Girişi'!$B$2,PlanAktarılacakSayfa!$C:$C,Düzeyler!F$3)</f>
        <v>0</v>
      </c>
      <c r="G17" s="14">
        <f>COUNTIFS(PlanAktarılacakSayfa!$D:$D,Düzeyler!$C17,PlanAktarılacakSayfa!$G:$G,'Hedef Girişi'!$C$2)-H17-I17</f>
        <v>0</v>
      </c>
      <c r="H17" s="14">
        <f>COUNTIFS(PlanAktarılacakSayfa!$D:$D,Düzeyler!$C17,PlanAktarılacakSayfa!$G:$G,'Hedef Girişi'!$C$2,PlanAktarılacakSayfa!$C:$C,Düzeyler!H$3)</f>
        <v>0</v>
      </c>
      <c r="I17" s="14">
        <f>COUNTIFS(PlanAktarılacakSayfa!$D:$D,Düzeyler!$C17,PlanAktarılacakSayfa!$G:$G,'Hedef Girişi'!$C$2,PlanAktarılacakSayfa!$C:$C,Düzeyler!I$3)</f>
        <v>0</v>
      </c>
      <c r="J17" s="14">
        <f>COUNTIFS(PlanAktarılacakSayfa!$D:$D,Düzeyler!$C17,PlanAktarılacakSayfa!$G:$G,'Hedef Girişi'!$B$3)-K17-L17</f>
        <v>0</v>
      </c>
      <c r="K17" s="14">
        <f>COUNTIFS(PlanAktarılacakSayfa!$D:$D,Düzeyler!$C17,PlanAktarılacakSayfa!$G:$G,'Hedef Girişi'!$B$3,PlanAktarılacakSayfa!$C:$C,Düzeyler!K$3)</f>
        <v>0</v>
      </c>
      <c r="L17" s="14">
        <f>COUNTIFS(PlanAktarılacakSayfa!$D:$D,Düzeyler!$C17,PlanAktarılacakSayfa!$G:$G,'Hedef Girişi'!$B$3,PlanAktarılacakSayfa!$C:$C,Düzeyler!L$3)</f>
        <v>0</v>
      </c>
      <c r="M17" s="14">
        <f>COUNTIFS(PlanAktarılacakSayfa!$D:$D,Düzeyler!$C17,PlanAktarılacakSayfa!$G:$G,'Hedef Girişi'!$C$3)-N17-O17</f>
        <v>0</v>
      </c>
      <c r="N17" s="14">
        <f>COUNTIFS(PlanAktarılacakSayfa!$D:$D,Düzeyler!$C17,PlanAktarılacakSayfa!$G:$G,'Hedef Girişi'!$C$3,PlanAktarılacakSayfa!$C:$C,Düzeyler!N$3)</f>
        <v>0</v>
      </c>
      <c r="O17" s="14">
        <f>COUNTIFS(PlanAktarılacakSayfa!$D:$D,Düzeyler!$C17,PlanAktarılacakSayfa!$G:$G,'Hedef Girişi'!$C$3,PlanAktarılacakSayfa!$C:$C,Düzeyler!O$3)</f>
        <v>0</v>
      </c>
      <c r="P17" s="14">
        <f>COUNTIFS(PlanAktarılacakSayfa!$D:$D,Düzeyler!$C17,PlanAktarılacakSayfa!$G:$G,'Hedef Girişi'!$B$4)-Q17-R17</f>
        <v>0</v>
      </c>
      <c r="Q17" s="14">
        <f>COUNTIFS(PlanAktarılacakSayfa!$D:$D,Düzeyler!$C17,PlanAktarılacakSayfa!$G:$G,'Hedef Girişi'!$B$4,PlanAktarılacakSayfa!$C:$C,Düzeyler!Q$3)</f>
        <v>0</v>
      </c>
      <c r="R17" s="14">
        <f>COUNTIFS(PlanAktarılacakSayfa!$D:$D,Düzeyler!$C17,PlanAktarılacakSayfa!$G:$G,'Hedef Girişi'!$B$4,PlanAktarılacakSayfa!$C:$C,Düzeyler!R$3)</f>
        <v>0</v>
      </c>
      <c r="S17" s="14">
        <f>COUNTIFS(PlanAktarılacakSayfa!$D:$D,Düzeyler!$C17,PlanAktarılacakSayfa!$G:$G,'Hedef Girişi'!$C$4)-T17-U17</f>
        <v>0</v>
      </c>
      <c r="T17" s="14">
        <f>COUNTIFS(PlanAktarılacakSayfa!$D:$D,Düzeyler!$C17,PlanAktarılacakSayfa!$G:$G,'Hedef Girişi'!$C$4,PlanAktarılacakSayfa!$C:$C,Düzeyler!T$3)</f>
        <v>0</v>
      </c>
      <c r="U17" s="14">
        <f>COUNTIFS(PlanAktarılacakSayfa!$D:$D,Düzeyler!$C17,PlanAktarılacakSayfa!$G:$G,'Hedef Girişi'!$C$4,PlanAktarılacakSayfa!$C:$C,Düzeyler!U$3)</f>
        <v>0</v>
      </c>
    </row>
    <row r="18" spans="1:40" x14ac:dyDescent="0.25">
      <c r="A18" s="59"/>
      <c r="B18" s="24" t="s">
        <v>13</v>
      </c>
      <c r="C18" s="25" t="s">
        <v>363</v>
      </c>
      <c r="D18" s="14">
        <f>COUNTIFS(PlanAktarılacakSayfa!$D:$D,Düzeyler!$C18,PlanAktarılacakSayfa!$G:$G,'Hedef Girişi'!$B$2)-E18-F18</f>
        <v>0</v>
      </c>
      <c r="E18" s="14">
        <f>COUNTIFS(PlanAktarılacakSayfa!$D:$D,Düzeyler!$C18,PlanAktarılacakSayfa!$G:$G,'Hedef Girişi'!$B$2,PlanAktarılacakSayfa!$C:$C,Düzeyler!E$3)</f>
        <v>0</v>
      </c>
      <c r="F18" s="14">
        <f>COUNTIFS(PlanAktarılacakSayfa!$D:$D,Düzeyler!$C18,PlanAktarılacakSayfa!$G:$G,'Hedef Girişi'!$B$2,PlanAktarılacakSayfa!$C:$C,Düzeyler!F$3)</f>
        <v>0</v>
      </c>
      <c r="G18" s="14">
        <f>COUNTIFS(PlanAktarılacakSayfa!$D:$D,Düzeyler!$C18,PlanAktarılacakSayfa!$G:$G,'Hedef Girişi'!$C$2)-H18-I18</f>
        <v>0</v>
      </c>
      <c r="H18" s="14">
        <f>COUNTIFS(PlanAktarılacakSayfa!$D:$D,Düzeyler!$C18,PlanAktarılacakSayfa!$G:$G,'Hedef Girişi'!$C$2,PlanAktarılacakSayfa!$C:$C,Düzeyler!H$3)</f>
        <v>0</v>
      </c>
      <c r="I18" s="14">
        <f>COUNTIFS(PlanAktarılacakSayfa!$D:$D,Düzeyler!$C18,PlanAktarılacakSayfa!$G:$G,'Hedef Girişi'!$C$2,PlanAktarılacakSayfa!$C:$C,Düzeyler!I$3)</f>
        <v>0</v>
      </c>
      <c r="J18" s="14">
        <f>COUNTIFS(PlanAktarılacakSayfa!$D:$D,Düzeyler!$C18,PlanAktarılacakSayfa!$G:$G,'Hedef Girişi'!$B$3)-K18-L18</f>
        <v>0</v>
      </c>
      <c r="K18" s="14">
        <f>COUNTIFS(PlanAktarılacakSayfa!$D:$D,Düzeyler!$C18,PlanAktarılacakSayfa!$G:$G,'Hedef Girişi'!$B$3,PlanAktarılacakSayfa!$C:$C,Düzeyler!K$3)</f>
        <v>0</v>
      </c>
      <c r="L18" s="14">
        <f>COUNTIFS(PlanAktarılacakSayfa!$D:$D,Düzeyler!$C18,PlanAktarılacakSayfa!$G:$G,'Hedef Girişi'!$B$3,PlanAktarılacakSayfa!$C:$C,Düzeyler!L$3)</f>
        <v>0</v>
      </c>
      <c r="M18" s="14">
        <f>COUNTIFS(PlanAktarılacakSayfa!$D:$D,Düzeyler!$C18,PlanAktarılacakSayfa!$G:$G,'Hedef Girişi'!$C$3)-N18-O18</f>
        <v>0</v>
      </c>
      <c r="N18" s="14">
        <f>COUNTIFS(PlanAktarılacakSayfa!$D:$D,Düzeyler!$C18,PlanAktarılacakSayfa!$G:$G,'Hedef Girişi'!$C$3,PlanAktarılacakSayfa!$C:$C,Düzeyler!N$3)</f>
        <v>0</v>
      </c>
      <c r="O18" s="14">
        <f>COUNTIFS(PlanAktarılacakSayfa!$D:$D,Düzeyler!$C18,PlanAktarılacakSayfa!$G:$G,'Hedef Girişi'!$C$3,PlanAktarılacakSayfa!$C:$C,Düzeyler!O$3)</f>
        <v>0</v>
      </c>
      <c r="P18" s="14">
        <f>COUNTIFS(PlanAktarılacakSayfa!$D:$D,Düzeyler!$C18,PlanAktarılacakSayfa!$G:$G,'Hedef Girişi'!$B$4)-Q18-R18</f>
        <v>0</v>
      </c>
      <c r="Q18" s="14">
        <f>COUNTIFS(PlanAktarılacakSayfa!$D:$D,Düzeyler!$C18,PlanAktarılacakSayfa!$G:$G,'Hedef Girişi'!$B$4,PlanAktarılacakSayfa!$C:$C,Düzeyler!Q$3)</f>
        <v>0</v>
      </c>
      <c r="R18" s="14">
        <f>COUNTIFS(PlanAktarılacakSayfa!$D:$D,Düzeyler!$C18,PlanAktarılacakSayfa!$G:$G,'Hedef Girişi'!$B$4,PlanAktarılacakSayfa!$C:$C,Düzeyler!R$3)</f>
        <v>0</v>
      </c>
      <c r="S18" s="14">
        <f>COUNTIFS(PlanAktarılacakSayfa!$D:$D,Düzeyler!$C18,PlanAktarılacakSayfa!$G:$G,'Hedef Girişi'!$C$4)-T18-U18</f>
        <v>0</v>
      </c>
      <c r="T18" s="14">
        <f>COUNTIFS(PlanAktarılacakSayfa!$D:$D,Düzeyler!$C18,PlanAktarılacakSayfa!$G:$G,'Hedef Girişi'!$C$4,PlanAktarılacakSayfa!$C:$C,Düzeyler!T$3)</f>
        <v>0</v>
      </c>
      <c r="U18" s="14">
        <f>COUNTIFS(PlanAktarılacakSayfa!$D:$D,Düzeyler!$C18,PlanAktarılacakSayfa!$G:$G,'Hedef Girişi'!$C$4,PlanAktarılacakSayfa!$C:$C,Düzeyler!U$3)</f>
        <v>0</v>
      </c>
    </row>
    <row r="19" spans="1:40" x14ac:dyDescent="0.25">
      <c r="A19" s="59"/>
      <c r="B19" s="25" t="s">
        <v>58</v>
      </c>
      <c r="C19" s="25" t="s">
        <v>364</v>
      </c>
      <c r="D19" s="14">
        <f>COUNTIFS(PlanAktarılacakSayfa!$D:$D,Düzeyler!$C19,PlanAktarılacakSayfa!$G:$G,'Hedef Girişi'!$B$2)-E19-F19</f>
        <v>0</v>
      </c>
      <c r="E19" s="14">
        <f>COUNTIFS(PlanAktarılacakSayfa!$D:$D,Düzeyler!$C19,PlanAktarılacakSayfa!$G:$G,'Hedef Girişi'!$B$2,PlanAktarılacakSayfa!$C:$C,Düzeyler!E$3)</f>
        <v>0</v>
      </c>
      <c r="F19" s="14">
        <f>COUNTIFS(PlanAktarılacakSayfa!$D:$D,Düzeyler!$C19,PlanAktarılacakSayfa!$G:$G,'Hedef Girişi'!$B$2,PlanAktarılacakSayfa!$C:$C,Düzeyler!F$3)</f>
        <v>0</v>
      </c>
      <c r="G19" s="14">
        <f>COUNTIFS(PlanAktarılacakSayfa!$D:$D,Düzeyler!$C19,PlanAktarılacakSayfa!$G:$G,'Hedef Girişi'!$C$2)-H19-I19</f>
        <v>0</v>
      </c>
      <c r="H19" s="14">
        <f>COUNTIFS(PlanAktarılacakSayfa!$D:$D,Düzeyler!$C19,PlanAktarılacakSayfa!$G:$G,'Hedef Girişi'!$C$2,PlanAktarılacakSayfa!$C:$C,Düzeyler!H$3)</f>
        <v>0</v>
      </c>
      <c r="I19" s="14">
        <f>COUNTIFS(PlanAktarılacakSayfa!$D:$D,Düzeyler!$C19,PlanAktarılacakSayfa!$G:$G,'Hedef Girişi'!$C$2,PlanAktarılacakSayfa!$C:$C,Düzeyler!I$3)</f>
        <v>0</v>
      </c>
      <c r="J19" s="14">
        <f>COUNTIFS(PlanAktarılacakSayfa!$D:$D,Düzeyler!$C19,PlanAktarılacakSayfa!$G:$G,'Hedef Girişi'!$B$3)-K19-L19</f>
        <v>0</v>
      </c>
      <c r="K19" s="14">
        <f>COUNTIFS(PlanAktarılacakSayfa!$D:$D,Düzeyler!$C19,PlanAktarılacakSayfa!$G:$G,'Hedef Girişi'!$B$3,PlanAktarılacakSayfa!$C:$C,Düzeyler!K$3)</f>
        <v>0</v>
      </c>
      <c r="L19" s="14">
        <f>COUNTIFS(PlanAktarılacakSayfa!$D:$D,Düzeyler!$C19,PlanAktarılacakSayfa!$G:$G,'Hedef Girişi'!$B$3,PlanAktarılacakSayfa!$C:$C,Düzeyler!L$3)</f>
        <v>0</v>
      </c>
      <c r="M19" s="14">
        <f>COUNTIFS(PlanAktarılacakSayfa!$D:$D,Düzeyler!$C19,PlanAktarılacakSayfa!$G:$G,'Hedef Girişi'!$C$3)-N19-O19</f>
        <v>0</v>
      </c>
      <c r="N19" s="14">
        <f>COUNTIFS(PlanAktarılacakSayfa!$D:$D,Düzeyler!$C19,PlanAktarılacakSayfa!$G:$G,'Hedef Girişi'!$C$3,PlanAktarılacakSayfa!$C:$C,Düzeyler!N$3)</f>
        <v>0</v>
      </c>
      <c r="O19" s="14">
        <f>COUNTIFS(PlanAktarılacakSayfa!$D:$D,Düzeyler!$C19,PlanAktarılacakSayfa!$G:$G,'Hedef Girişi'!$C$3,PlanAktarılacakSayfa!$C:$C,Düzeyler!O$3)</f>
        <v>0</v>
      </c>
      <c r="P19" s="14">
        <f>COUNTIFS(PlanAktarılacakSayfa!$D:$D,Düzeyler!$C19,PlanAktarılacakSayfa!$G:$G,'Hedef Girişi'!$B$4)-Q19-R19</f>
        <v>0</v>
      </c>
      <c r="Q19" s="14">
        <f>COUNTIFS(PlanAktarılacakSayfa!$D:$D,Düzeyler!$C19,PlanAktarılacakSayfa!$G:$G,'Hedef Girişi'!$B$4,PlanAktarılacakSayfa!$C:$C,Düzeyler!Q$3)</f>
        <v>0</v>
      </c>
      <c r="R19" s="14">
        <f>COUNTIFS(PlanAktarılacakSayfa!$D:$D,Düzeyler!$C19,PlanAktarılacakSayfa!$G:$G,'Hedef Girişi'!$B$4,PlanAktarılacakSayfa!$C:$C,Düzeyler!R$3)</f>
        <v>0</v>
      </c>
      <c r="S19" s="14">
        <f>COUNTIFS(PlanAktarılacakSayfa!$D:$D,Düzeyler!$C19,PlanAktarılacakSayfa!$G:$G,'Hedef Girişi'!$C$4)-T19-U19</f>
        <v>0</v>
      </c>
      <c r="T19" s="14">
        <f>COUNTIFS(PlanAktarılacakSayfa!$D:$D,Düzeyler!$C19,PlanAktarılacakSayfa!$G:$G,'Hedef Girişi'!$C$4,PlanAktarılacakSayfa!$C:$C,Düzeyler!T$3)</f>
        <v>0</v>
      </c>
      <c r="U19" s="14">
        <f>COUNTIFS(PlanAktarılacakSayfa!$D:$D,Düzeyler!$C19,PlanAktarılacakSayfa!$G:$G,'Hedef Girişi'!$C$4,PlanAktarılacakSayfa!$C:$C,Düzeyler!U$3)</f>
        <v>0</v>
      </c>
    </row>
    <row r="20" spans="1:40" x14ac:dyDescent="0.25">
      <c r="A20" s="59"/>
      <c r="B20" s="25" t="s">
        <v>59</v>
      </c>
      <c r="C20" s="25" t="s">
        <v>365</v>
      </c>
      <c r="D20" s="14">
        <f>COUNTIFS(PlanAktarılacakSayfa!$D:$D,Düzeyler!$C20,PlanAktarılacakSayfa!$G:$G,'Hedef Girişi'!$B$2)-E20-F20</f>
        <v>0</v>
      </c>
      <c r="E20" s="14">
        <f>COUNTIFS(PlanAktarılacakSayfa!$D:$D,Düzeyler!$C20,PlanAktarılacakSayfa!$G:$G,'Hedef Girişi'!$B$2,PlanAktarılacakSayfa!$C:$C,Düzeyler!E$3)</f>
        <v>0</v>
      </c>
      <c r="F20" s="14">
        <f>COUNTIFS(PlanAktarılacakSayfa!$D:$D,Düzeyler!$C20,PlanAktarılacakSayfa!$G:$G,'Hedef Girişi'!$B$2,PlanAktarılacakSayfa!$C:$C,Düzeyler!F$3)</f>
        <v>0</v>
      </c>
      <c r="G20" s="14">
        <f>COUNTIFS(PlanAktarılacakSayfa!$D:$D,Düzeyler!$C20,PlanAktarılacakSayfa!$G:$G,'Hedef Girişi'!$C$2)-H20-I20</f>
        <v>0</v>
      </c>
      <c r="H20" s="14">
        <f>COUNTIFS(PlanAktarılacakSayfa!$D:$D,Düzeyler!$C20,PlanAktarılacakSayfa!$G:$G,'Hedef Girişi'!$C$2,PlanAktarılacakSayfa!$C:$C,Düzeyler!H$3)</f>
        <v>0</v>
      </c>
      <c r="I20" s="14">
        <f>COUNTIFS(PlanAktarılacakSayfa!$D:$D,Düzeyler!$C20,PlanAktarılacakSayfa!$G:$G,'Hedef Girişi'!$C$2,PlanAktarılacakSayfa!$C:$C,Düzeyler!I$3)</f>
        <v>0</v>
      </c>
      <c r="J20" s="14">
        <f>COUNTIFS(PlanAktarılacakSayfa!$D:$D,Düzeyler!$C20,PlanAktarılacakSayfa!$G:$G,'Hedef Girişi'!$B$3)-K20-L20</f>
        <v>0</v>
      </c>
      <c r="K20" s="14">
        <f>COUNTIFS(PlanAktarılacakSayfa!$D:$D,Düzeyler!$C20,PlanAktarılacakSayfa!$G:$G,'Hedef Girişi'!$B$3,PlanAktarılacakSayfa!$C:$C,Düzeyler!K$3)</f>
        <v>0</v>
      </c>
      <c r="L20" s="14">
        <f>COUNTIFS(PlanAktarılacakSayfa!$D:$D,Düzeyler!$C20,PlanAktarılacakSayfa!$G:$G,'Hedef Girişi'!$B$3,PlanAktarılacakSayfa!$C:$C,Düzeyler!L$3)</f>
        <v>0</v>
      </c>
      <c r="M20" s="14">
        <f>COUNTIFS(PlanAktarılacakSayfa!$D:$D,Düzeyler!$C20,PlanAktarılacakSayfa!$G:$G,'Hedef Girişi'!$C$3)-N20-O20</f>
        <v>0</v>
      </c>
      <c r="N20" s="14">
        <f>COUNTIFS(PlanAktarılacakSayfa!$D:$D,Düzeyler!$C20,PlanAktarılacakSayfa!$G:$G,'Hedef Girişi'!$C$3,PlanAktarılacakSayfa!$C:$C,Düzeyler!N$3)</f>
        <v>0</v>
      </c>
      <c r="O20" s="14">
        <f>COUNTIFS(PlanAktarılacakSayfa!$D:$D,Düzeyler!$C20,PlanAktarılacakSayfa!$G:$G,'Hedef Girişi'!$C$3,PlanAktarılacakSayfa!$C:$C,Düzeyler!O$3)</f>
        <v>0</v>
      </c>
      <c r="P20" s="14">
        <f>COUNTIFS(PlanAktarılacakSayfa!$D:$D,Düzeyler!$C20,PlanAktarılacakSayfa!$G:$G,'Hedef Girişi'!$B$4)-Q20-R20</f>
        <v>0</v>
      </c>
      <c r="Q20" s="14">
        <f>COUNTIFS(PlanAktarılacakSayfa!$D:$D,Düzeyler!$C20,PlanAktarılacakSayfa!$G:$G,'Hedef Girişi'!$B$4,PlanAktarılacakSayfa!$C:$C,Düzeyler!Q$3)</f>
        <v>0</v>
      </c>
      <c r="R20" s="14">
        <f>COUNTIFS(PlanAktarılacakSayfa!$D:$D,Düzeyler!$C20,PlanAktarılacakSayfa!$G:$G,'Hedef Girişi'!$B$4,PlanAktarılacakSayfa!$C:$C,Düzeyler!R$3)</f>
        <v>0</v>
      </c>
      <c r="S20" s="14">
        <f>COUNTIFS(PlanAktarılacakSayfa!$D:$D,Düzeyler!$C20,PlanAktarılacakSayfa!$G:$G,'Hedef Girişi'!$C$4)-T20-U20</f>
        <v>0</v>
      </c>
      <c r="T20" s="14">
        <f>COUNTIFS(PlanAktarılacakSayfa!$D:$D,Düzeyler!$C20,PlanAktarılacakSayfa!$G:$G,'Hedef Girişi'!$C$4,PlanAktarılacakSayfa!$C:$C,Düzeyler!T$3)</f>
        <v>0</v>
      </c>
      <c r="U20" s="14">
        <f>COUNTIFS(PlanAktarılacakSayfa!$D:$D,Düzeyler!$C20,PlanAktarılacakSayfa!$G:$G,'Hedef Girişi'!$C$4,PlanAktarılacakSayfa!$C:$C,Düzeyler!U$3)</f>
        <v>0</v>
      </c>
      <c r="W20" s="2" t="s">
        <v>87</v>
      </c>
      <c r="Z20" s="2" t="s">
        <v>88</v>
      </c>
      <c r="AC20" s="2" t="s">
        <v>89</v>
      </c>
      <c r="AF20" s="2" t="s">
        <v>90</v>
      </c>
      <c r="AI20" s="2" t="s">
        <v>91</v>
      </c>
      <c r="AL20" s="2" t="s">
        <v>92</v>
      </c>
    </row>
    <row r="21" spans="1:40" x14ac:dyDescent="0.25">
      <c r="A21" s="59"/>
      <c r="B21" s="25" t="s">
        <v>61</v>
      </c>
      <c r="C21" s="25" t="s">
        <v>366</v>
      </c>
      <c r="D21" s="14">
        <f>COUNTIFS(PlanAktarılacakSayfa!$D:$D,Düzeyler!$C21,PlanAktarılacakSayfa!$G:$G,'Hedef Girişi'!$B$2)-E21-F21</f>
        <v>0</v>
      </c>
      <c r="E21" s="14">
        <f>COUNTIFS(PlanAktarılacakSayfa!$D:$D,Düzeyler!$C21,PlanAktarılacakSayfa!$G:$G,'Hedef Girişi'!$B$2,PlanAktarılacakSayfa!$C:$C,Düzeyler!E$3)</f>
        <v>0</v>
      </c>
      <c r="F21" s="14">
        <f>COUNTIFS(PlanAktarılacakSayfa!$D:$D,Düzeyler!$C21,PlanAktarılacakSayfa!$G:$G,'Hedef Girişi'!$B$2,PlanAktarılacakSayfa!$C:$C,Düzeyler!F$3)</f>
        <v>0</v>
      </c>
      <c r="G21" s="14">
        <f>COUNTIFS(PlanAktarılacakSayfa!$D:$D,Düzeyler!$C21,PlanAktarılacakSayfa!$G:$G,'Hedef Girişi'!$C$2)-H21-I21</f>
        <v>0</v>
      </c>
      <c r="H21" s="14">
        <f>COUNTIFS(PlanAktarılacakSayfa!$D:$D,Düzeyler!$C21,PlanAktarılacakSayfa!$G:$G,'Hedef Girişi'!$C$2,PlanAktarılacakSayfa!$C:$C,Düzeyler!H$3)</f>
        <v>0</v>
      </c>
      <c r="I21" s="14">
        <f>COUNTIFS(PlanAktarılacakSayfa!$D:$D,Düzeyler!$C21,PlanAktarılacakSayfa!$G:$G,'Hedef Girişi'!$C$2,PlanAktarılacakSayfa!$C:$C,Düzeyler!I$3)</f>
        <v>0</v>
      </c>
      <c r="J21" s="14">
        <f>COUNTIFS(PlanAktarılacakSayfa!$D:$D,Düzeyler!$C21,PlanAktarılacakSayfa!$G:$G,'Hedef Girişi'!$B$3)-K21-L21</f>
        <v>0</v>
      </c>
      <c r="K21" s="14">
        <f>COUNTIFS(PlanAktarılacakSayfa!$D:$D,Düzeyler!$C21,PlanAktarılacakSayfa!$G:$G,'Hedef Girişi'!$B$3,PlanAktarılacakSayfa!$C:$C,Düzeyler!K$3)</f>
        <v>0</v>
      </c>
      <c r="L21" s="14">
        <f>COUNTIFS(PlanAktarılacakSayfa!$D:$D,Düzeyler!$C21,PlanAktarılacakSayfa!$G:$G,'Hedef Girişi'!$B$3,PlanAktarılacakSayfa!$C:$C,Düzeyler!L$3)</f>
        <v>0</v>
      </c>
      <c r="M21" s="14">
        <f>COUNTIFS(PlanAktarılacakSayfa!$D:$D,Düzeyler!$C21,PlanAktarılacakSayfa!$G:$G,'Hedef Girişi'!$C$3)-N21-O21</f>
        <v>0</v>
      </c>
      <c r="N21" s="14">
        <f>COUNTIFS(PlanAktarılacakSayfa!$D:$D,Düzeyler!$C21,PlanAktarılacakSayfa!$G:$G,'Hedef Girişi'!$C$3,PlanAktarılacakSayfa!$C:$C,Düzeyler!N$3)</f>
        <v>0</v>
      </c>
      <c r="O21" s="14">
        <f>COUNTIFS(PlanAktarılacakSayfa!$D:$D,Düzeyler!$C21,PlanAktarılacakSayfa!$G:$G,'Hedef Girişi'!$C$3,PlanAktarılacakSayfa!$C:$C,Düzeyler!O$3)</f>
        <v>0</v>
      </c>
      <c r="P21" s="14">
        <f>COUNTIFS(PlanAktarılacakSayfa!$D:$D,Düzeyler!$C21,PlanAktarılacakSayfa!$G:$G,'Hedef Girişi'!$B$4)-Q21-R21</f>
        <v>0</v>
      </c>
      <c r="Q21" s="14">
        <f>COUNTIFS(PlanAktarılacakSayfa!$D:$D,Düzeyler!$C21,PlanAktarılacakSayfa!$G:$G,'Hedef Girişi'!$B$4,PlanAktarılacakSayfa!$C:$C,Düzeyler!Q$3)</f>
        <v>0</v>
      </c>
      <c r="R21" s="14">
        <f>COUNTIFS(PlanAktarılacakSayfa!$D:$D,Düzeyler!$C21,PlanAktarılacakSayfa!$G:$G,'Hedef Girişi'!$B$4,PlanAktarılacakSayfa!$C:$C,Düzeyler!R$3)</f>
        <v>0</v>
      </c>
      <c r="S21" s="14">
        <f>COUNTIFS(PlanAktarılacakSayfa!$D:$D,Düzeyler!$C21,PlanAktarılacakSayfa!$G:$G,'Hedef Girişi'!$C$4)-T21-U21</f>
        <v>0</v>
      </c>
      <c r="T21" s="14">
        <f>COUNTIFS(PlanAktarılacakSayfa!$D:$D,Düzeyler!$C21,PlanAktarılacakSayfa!$G:$G,'Hedef Girişi'!$C$4,PlanAktarılacakSayfa!$C:$C,Düzeyler!T$3)</f>
        <v>0</v>
      </c>
      <c r="U21" s="14">
        <f>COUNTIFS(PlanAktarılacakSayfa!$D:$D,Düzeyler!$C21,PlanAktarılacakSayfa!$G:$G,'Hedef Girişi'!$C$4,PlanAktarılacakSayfa!$C:$C,Düzeyler!U$3)</f>
        <v>0</v>
      </c>
      <c r="W21" s="2" t="s">
        <v>93</v>
      </c>
      <c r="X21" s="2" t="s">
        <v>94</v>
      </c>
      <c r="Y21" s="2" t="s">
        <v>95</v>
      </c>
      <c r="Z21" s="2" t="s">
        <v>93</v>
      </c>
      <c r="AA21" s="2" t="s">
        <v>94</v>
      </c>
      <c r="AB21" s="2" t="s">
        <v>95</v>
      </c>
      <c r="AC21" s="2" t="s">
        <v>93</v>
      </c>
      <c r="AD21" s="2" t="s">
        <v>94</v>
      </c>
      <c r="AE21" s="2" t="s">
        <v>95</v>
      </c>
      <c r="AF21" s="2" t="s">
        <v>93</v>
      </c>
      <c r="AG21" s="2" t="s">
        <v>94</v>
      </c>
      <c r="AH21" s="2" t="s">
        <v>95</v>
      </c>
      <c r="AI21" s="2" t="s">
        <v>93</v>
      </c>
      <c r="AJ21" s="2" t="s">
        <v>94</v>
      </c>
      <c r="AK21" s="2" t="s">
        <v>95</v>
      </c>
      <c r="AL21" s="2" t="s">
        <v>93</v>
      </c>
      <c r="AM21" s="2" t="s">
        <v>94</v>
      </c>
      <c r="AN21" s="2" t="s">
        <v>95</v>
      </c>
    </row>
    <row r="22" spans="1:40" ht="45" x14ac:dyDescent="0.25">
      <c r="A22" s="60" t="s">
        <v>57</v>
      </c>
      <c r="B22" s="26" t="s">
        <v>55</v>
      </c>
      <c r="C22" s="26" t="s">
        <v>367</v>
      </c>
      <c r="D22" s="15">
        <f>COUNTIFS(PlanAktarılacakSayfa!$D:$D,Düzeyler!$C22,PlanAktarılacakSayfa!$G:$G,'Hedef Girişi'!$B$2)-E22-F22</f>
        <v>0</v>
      </c>
      <c r="E22" s="15">
        <f>COUNTIFS(PlanAktarılacakSayfa!$D:$D,Düzeyler!$C22,PlanAktarılacakSayfa!$G:$G,'Hedef Girişi'!$B$2,PlanAktarılacakSayfa!$C:$C,Düzeyler!E$3)</f>
        <v>0</v>
      </c>
      <c r="F22" s="15">
        <f>COUNTIFS(PlanAktarılacakSayfa!$D:$D,Düzeyler!$C22,PlanAktarılacakSayfa!$G:$G,'Hedef Girişi'!$B$2,PlanAktarılacakSayfa!$C:$C,Düzeyler!F$3)</f>
        <v>0</v>
      </c>
      <c r="G22" s="15">
        <f>COUNTIFS(PlanAktarılacakSayfa!$D:$D,Düzeyler!$C22,PlanAktarılacakSayfa!$G:$G,'Hedef Girişi'!$C$2)-H22-I22</f>
        <v>0</v>
      </c>
      <c r="H22" s="15">
        <f>COUNTIFS(PlanAktarılacakSayfa!$D:$D,Düzeyler!$C22,PlanAktarılacakSayfa!$G:$G,'Hedef Girişi'!$C$2,PlanAktarılacakSayfa!$C:$C,Düzeyler!H$3)</f>
        <v>0</v>
      </c>
      <c r="I22" s="15">
        <f>COUNTIFS(PlanAktarılacakSayfa!$D:$D,Düzeyler!$C22,PlanAktarılacakSayfa!$G:$G,'Hedef Girişi'!$C$2,PlanAktarılacakSayfa!$C:$C,Düzeyler!I$3)</f>
        <v>0</v>
      </c>
      <c r="J22" s="15">
        <f>COUNTIFS(PlanAktarılacakSayfa!$D:$D,Düzeyler!$C22,PlanAktarılacakSayfa!$G:$G,'Hedef Girişi'!$B$3)-K22-L22</f>
        <v>0</v>
      </c>
      <c r="K22" s="15">
        <f>COUNTIFS(PlanAktarılacakSayfa!$D:$D,Düzeyler!$C22,PlanAktarılacakSayfa!$G:$G,'Hedef Girişi'!$B$3,PlanAktarılacakSayfa!$C:$C,Düzeyler!K$3)</f>
        <v>0</v>
      </c>
      <c r="L22" s="15">
        <f>COUNTIFS(PlanAktarılacakSayfa!$D:$D,Düzeyler!$C22,PlanAktarılacakSayfa!$G:$G,'Hedef Girişi'!$B$3,PlanAktarılacakSayfa!$C:$C,Düzeyler!L$3)</f>
        <v>0</v>
      </c>
      <c r="M22" s="15">
        <f>COUNTIFS(PlanAktarılacakSayfa!$D:$D,Düzeyler!$C22,PlanAktarılacakSayfa!$G:$G,'Hedef Girişi'!$C$3)-N22-O22</f>
        <v>0</v>
      </c>
      <c r="N22" s="15">
        <f>COUNTIFS(PlanAktarılacakSayfa!$D:$D,Düzeyler!$C22,PlanAktarılacakSayfa!$G:$G,'Hedef Girişi'!$C$3,PlanAktarılacakSayfa!$C:$C,Düzeyler!N$3)</f>
        <v>0</v>
      </c>
      <c r="O22" s="15">
        <f>COUNTIFS(PlanAktarılacakSayfa!$D:$D,Düzeyler!$C22,PlanAktarılacakSayfa!$G:$G,'Hedef Girişi'!$C$3,PlanAktarılacakSayfa!$C:$C,Düzeyler!O$3)</f>
        <v>0</v>
      </c>
      <c r="P22" s="15">
        <f>COUNTIFS(PlanAktarılacakSayfa!$D:$D,Düzeyler!$C22,PlanAktarılacakSayfa!$G:$G,'Hedef Girişi'!$B$4)-Q22-R22</f>
        <v>0</v>
      </c>
      <c r="Q22" s="15">
        <f>COUNTIFS(PlanAktarılacakSayfa!$D:$D,Düzeyler!$C22,PlanAktarılacakSayfa!$G:$G,'Hedef Girişi'!$B$4,PlanAktarılacakSayfa!$C:$C,Düzeyler!Q$3)</f>
        <v>0</v>
      </c>
      <c r="R22" s="15">
        <f>COUNTIFS(PlanAktarılacakSayfa!$D:$D,Düzeyler!$C22,PlanAktarılacakSayfa!$G:$G,'Hedef Girişi'!$B$4,PlanAktarılacakSayfa!$C:$C,Düzeyler!R$3)</f>
        <v>0</v>
      </c>
      <c r="S22" s="15">
        <f>COUNTIFS(PlanAktarılacakSayfa!$D:$D,Düzeyler!$C22,PlanAktarılacakSayfa!$G:$G,'Hedef Girişi'!$C$4)-T22-U22</f>
        <v>0</v>
      </c>
      <c r="T22" s="15">
        <f>COUNTIFS(PlanAktarılacakSayfa!$D:$D,Düzeyler!$C22,PlanAktarılacakSayfa!$G:$G,'Hedef Girişi'!$C$4,PlanAktarılacakSayfa!$C:$C,Düzeyler!T$3)</f>
        <v>0</v>
      </c>
      <c r="U22" s="15">
        <f>COUNTIFS(PlanAktarılacakSayfa!$D:$D,Düzeyler!$C22,PlanAktarılacakSayfa!$G:$G,'Hedef Girişi'!$C$4,PlanAktarılacakSayfa!$C:$C,Düzeyler!U$3)</f>
        <v>0</v>
      </c>
      <c r="V22" s="22" t="s">
        <v>307</v>
      </c>
      <c r="W22" s="2">
        <f>IFERROR(VLOOKUP(CLEAN(TRIM($V22)),$V$4:$AN$19,2,FALSE),"")</f>
        <v>2</v>
      </c>
      <c r="X22" s="2">
        <f>IFERROR(VLOOKUP(CLEAN(TRIM($V22)),$V$4:$AN$19,3,FALSE),"")</f>
        <v>2</v>
      </c>
      <c r="Y22" s="2">
        <f>IFERROR(VLOOKUP(CLEAN(TRIM($V22)),$V$4:$AN$19,4,FALSE),"")</f>
        <v>1</v>
      </c>
      <c r="Z22" s="2">
        <f>IFERROR(VLOOKUP(CLEAN(TRIM($V22)),$V$4:$AN$19,5,FALSE),"")</f>
        <v>0</v>
      </c>
      <c r="AA22" s="2">
        <f>IFERROR(VLOOKUP(CLEAN(TRIM($V22)),$V$4:$AN$19,6,FALSE),"")</f>
        <v>0</v>
      </c>
      <c r="AB22" s="2">
        <f>IFERROR(VLOOKUP(CLEAN(TRIM($V22)),$V$4:$AN$19,7,FALSE),"")</f>
        <v>0</v>
      </c>
      <c r="AC22" s="2">
        <f>IFERROR(VLOOKUP(CLEAN(TRIM($V22)),$V$4:$AN$19,8,FALSE),"")</f>
        <v>2</v>
      </c>
      <c r="AD22" s="2">
        <f>IFERROR(VLOOKUP(CLEAN(TRIM($V22)),$V$4:$AN$19,9,FALSE),"")</f>
        <v>2</v>
      </c>
      <c r="AE22" s="2">
        <f>IFERROR(VLOOKUP(CLEAN(TRIM($V22)),$V$4:$AN$19,10,FALSE),"")</f>
        <v>1</v>
      </c>
      <c r="AF22" s="2">
        <f>IFERROR(VLOOKUP(CLEAN(TRIM($V22)),$V$4:$AN$19,11,FALSE),"")</f>
        <v>0</v>
      </c>
      <c r="AG22" s="2">
        <f>IFERROR(VLOOKUP(CLEAN(TRIM($V22)),$V$4:$AN$19,12,FALSE),"")</f>
        <v>0</v>
      </c>
      <c r="AH22" s="2">
        <f>IFERROR(VLOOKUP(CLEAN(TRIM($V22)),$V$4:$AN$19,13,FALSE),"")</f>
        <v>0</v>
      </c>
      <c r="AI22" s="2">
        <f>IFERROR(VLOOKUP(CLEAN(TRIM($V22)),$V$4:$AN$19,14,FALSE),"")</f>
        <v>2</v>
      </c>
      <c r="AJ22" s="2">
        <f>IFERROR(VLOOKUP(CLEAN(TRIM($V22)),$V$4:$AN$19,15,FALSE),"")</f>
        <v>2</v>
      </c>
      <c r="AK22" s="2">
        <f>IFERROR(VLOOKUP(CLEAN(TRIM($V22)),$V$4:$AN$19,16,FALSE),"")</f>
        <v>1</v>
      </c>
      <c r="AL22" s="2">
        <f>IFERROR(VLOOKUP(CLEAN(TRIM($V22)),$V$4:$AN$19,17,FALSE),"")</f>
        <v>2</v>
      </c>
      <c r="AM22" s="2">
        <f>IFERROR(VLOOKUP(CLEAN(TRIM($V22)),$V$4:$AN$19,18,FALSE),"")</f>
        <v>2</v>
      </c>
      <c r="AN22" s="2">
        <f>IFERROR(VLOOKUP(CLEAN(TRIM($V22)),$V$4:$AN$19,19,FALSE),"")</f>
        <v>1</v>
      </c>
    </row>
    <row r="23" spans="1:40" x14ac:dyDescent="0.25">
      <c r="A23" s="60"/>
      <c r="B23" s="27" t="s">
        <v>54</v>
      </c>
      <c r="C23" s="26" t="s">
        <v>368</v>
      </c>
      <c r="D23" s="15">
        <f>COUNTIFS(PlanAktarılacakSayfa!$D:$D,Düzeyler!$C23,PlanAktarılacakSayfa!$G:$G,'Hedef Girişi'!$B$2)-E23-F23</f>
        <v>0</v>
      </c>
      <c r="E23" s="15">
        <f>COUNTIFS(PlanAktarılacakSayfa!$D:$D,Düzeyler!$C23,PlanAktarılacakSayfa!$G:$G,'Hedef Girişi'!$B$2,PlanAktarılacakSayfa!$C:$C,Düzeyler!E$3)</f>
        <v>0</v>
      </c>
      <c r="F23" s="15">
        <f>COUNTIFS(PlanAktarılacakSayfa!$D:$D,Düzeyler!$C23,PlanAktarılacakSayfa!$G:$G,'Hedef Girişi'!$B$2,PlanAktarılacakSayfa!$C:$C,Düzeyler!F$3)</f>
        <v>0</v>
      </c>
      <c r="G23" s="15">
        <f>COUNTIFS(PlanAktarılacakSayfa!$D:$D,Düzeyler!$C23,PlanAktarılacakSayfa!$G:$G,'Hedef Girişi'!$C$2)-H23-I23</f>
        <v>0</v>
      </c>
      <c r="H23" s="15">
        <f>COUNTIFS(PlanAktarılacakSayfa!$D:$D,Düzeyler!$C23,PlanAktarılacakSayfa!$G:$G,'Hedef Girişi'!$C$2,PlanAktarılacakSayfa!$C:$C,Düzeyler!H$3)</f>
        <v>0</v>
      </c>
      <c r="I23" s="15">
        <f>COUNTIFS(PlanAktarılacakSayfa!$D:$D,Düzeyler!$C23,PlanAktarılacakSayfa!$G:$G,'Hedef Girişi'!$C$2,PlanAktarılacakSayfa!$C:$C,Düzeyler!I$3)</f>
        <v>0</v>
      </c>
      <c r="J23" s="15">
        <f>COUNTIFS(PlanAktarılacakSayfa!$D:$D,Düzeyler!$C23,PlanAktarılacakSayfa!$G:$G,'Hedef Girişi'!$B$3)-K23-L23</f>
        <v>0</v>
      </c>
      <c r="K23" s="15">
        <f>COUNTIFS(PlanAktarılacakSayfa!$D:$D,Düzeyler!$C23,PlanAktarılacakSayfa!$G:$G,'Hedef Girişi'!$B$3,PlanAktarılacakSayfa!$C:$C,Düzeyler!K$3)</f>
        <v>0</v>
      </c>
      <c r="L23" s="15">
        <f>COUNTIFS(PlanAktarılacakSayfa!$D:$D,Düzeyler!$C23,PlanAktarılacakSayfa!$G:$G,'Hedef Girişi'!$B$3,PlanAktarılacakSayfa!$C:$C,Düzeyler!L$3)</f>
        <v>0</v>
      </c>
      <c r="M23" s="15">
        <f>COUNTIFS(PlanAktarılacakSayfa!$D:$D,Düzeyler!$C23,PlanAktarılacakSayfa!$G:$G,'Hedef Girişi'!$C$3)-N23-O23</f>
        <v>0</v>
      </c>
      <c r="N23" s="15">
        <f>COUNTIFS(PlanAktarılacakSayfa!$D:$D,Düzeyler!$C23,PlanAktarılacakSayfa!$G:$G,'Hedef Girişi'!$C$3,PlanAktarılacakSayfa!$C:$C,Düzeyler!N$3)</f>
        <v>0</v>
      </c>
      <c r="O23" s="15">
        <f>COUNTIFS(PlanAktarılacakSayfa!$D:$D,Düzeyler!$C23,PlanAktarılacakSayfa!$G:$G,'Hedef Girişi'!$C$3,PlanAktarılacakSayfa!$C:$C,Düzeyler!O$3)</f>
        <v>0</v>
      </c>
      <c r="P23" s="15">
        <f>COUNTIFS(PlanAktarılacakSayfa!$D:$D,Düzeyler!$C23,PlanAktarılacakSayfa!$G:$G,'Hedef Girişi'!$B$4)-Q23-R23</f>
        <v>0</v>
      </c>
      <c r="Q23" s="15">
        <f>COUNTIFS(PlanAktarılacakSayfa!$D:$D,Düzeyler!$C23,PlanAktarılacakSayfa!$G:$G,'Hedef Girişi'!$B$4,PlanAktarılacakSayfa!$C:$C,Düzeyler!Q$3)</f>
        <v>0</v>
      </c>
      <c r="R23" s="15">
        <f>COUNTIFS(PlanAktarılacakSayfa!$D:$D,Düzeyler!$C23,PlanAktarılacakSayfa!$G:$G,'Hedef Girişi'!$B$4,PlanAktarılacakSayfa!$C:$C,Düzeyler!R$3)</f>
        <v>0</v>
      </c>
      <c r="S23" s="15">
        <f>COUNTIFS(PlanAktarılacakSayfa!$D:$D,Düzeyler!$C23,PlanAktarılacakSayfa!$G:$G,'Hedef Girişi'!$C$4)-T23-U23</f>
        <v>0</v>
      </c>
      <c r="T23" s="15">
        <f>COUNTIFS(PlanAktarılacakSayfa!$D:$D,Düzeyler!$C23,PlanAktarılacakSayfa!$G:$G,'Hedef Girişi'!$C$4,PlanAktarılacakSayfa!$C:$C,Düzeyler!T$3)</f>
        <v>0</v>
      </c>
      <c r="U23" s="15">
        <f>COUNTIFS(PlanAktarılacakSayfa!$D:$D,Düzeyler!$C23,PlanAktarılacakSayfa!$G:$G,'Hedef Girişi'!$C$4,PlanAktarılacakSayfa!$C:$C,Düzeyler!U$3)</f>
        <v>0</v>
      </c>
    </row>
    <row r="24" spans="1:40" x14ac:dyDescent="0.25">
      <c r="A24" s="60"/>
      <c r="B24" s="26" t="s">
        <v>60</v>
      </c>
      <c r="C24" s="26" t="s">
        <v>369</v>
      </c>
      <c r="D24" s="15">
        <f>COUNTIFS(PlanAktarılacakSayfa!$D:$D,Düzeyler!$C24,PlanAktarılacakSayfa!$G:$G,'Hedef Girişi'!$B$2)-E24-F24</f>
        <v>0</v>
      </c>
      <c r="E24" s="15">
        <f>COUNTIFS(PlanAktarılacakSayfa!$D:$D,Düzeyler!$C24,PlanAktarılacakSayfa!$G:$G,'Hedef Girişi'!$B$2,PlanAktarılacakSayfa!$C:$C,Düzeyler!E$3)</f>
        <v>0</v>
      </c>
      <c r="F24" s="15">
        <f>COUNTIFS(PlanAktarılacakSayfa!$D:$D,Düzeyler!$C24,PlanAktarılacakSayfa!$G:$G,'Hedef Girişi'!$B$2,PlanAktarılacakSayfa!$C:$C,Düzeyler!F$3)</f>
        <v>0</v>
      </c>
      <c r="G24" s="15">
        <f>COUNTIFS(PlanAktarılacakSayfa!$D:$D,Düzeyler!$C24,PlanAktarılacakSayfa!$G:$G,'Hedef Girişi'!$C$2)-H24-I24</f>
        <v>0</v>
      </c>
      <c r="H24" s="15">
        <f>COUNTIFS(PlanAktarılacakSayfa!$D:$D,Düzeyler!$C24,PlanAktarılacakSayfa!$G:$G,'Hedef Girişi'!$C$2,PlanAktarılacakSayfa!$C:$C,Düzeyler!H$3)</f>
        <v>0</v>
      </c>
      <c r="I24" s="15">
        <f>COUNTIFS(PlanAktarılacakSayfa!$D:$D,Düzeyler!$C24,PlanAktarılacakSayfa!$G:$G,'Hedef Girişi'!$C$2,PlanAktarılacakSayfa!$C:$C,Düzeyler!I$3)</f>
        <v>0</v>
      </c>
      <c r="J24" s="15">
        <f>COUNTIFS(PlanAktarılacakSayfa!$D:$D,Düzeyler!$C24,PlanAktarılacakSayfa!$G:$G,'Hedef Girişi'!$B$3)-K24-L24</f>
        <v>0</v>
      </c>
      <c r="K24" s="15">
        <f>COUNTIFS(PlanAktarılacakSayfa!$D:$D,Düzeyler!$C24,PlanAktarılacakSayfa!$G:$G,'Hedef Girişi'!$B$3,PlanAktarılacakSayfa!$C:$C,Düzeyler!K$3)</f>
        <v>0</v>
      </c>
      <c r="L24" s="15">
        <f>COUNTIFS(PlanAktarılacakSayfa!$D:$D,Düzeyler!$C24,PlanAktarılacakSayfa!$G:$G,'Hedef Girişi'!$B$3,PlanAktarılacakSayfa!$C:$C,Düzeyler!L$3)</f>
        <v>0</v>
      </c>
      <c r="M24" s="15">
        <f>COUNTIFS(PlanAktarılacakSayfa!$D:$D,Düzeyler!$C24,PlanAktarılacakSayfa!$G:$G,'Hedef Girişi'!$C$3)-N24-O24</f>
        <v>0</v>
      </c>
      <c r="N24" s="15">
        <f>COUNTIFS(PlanAktarılacakSayfa!$D:$D,Düzeyler!$C24,PlanAktarılacakSayfa!$G:$G,'Hedef Girişi'!$C$3,PlanAktarılacakSayfa!$C:$C,Düzeyler!N$3)</f>
        <v>0</v>
      </c>
      <c r="O24" s="15">
        <f>COUNTIFS(PlanAktarılacakSayfa!$D:$D,Düzeyler!$C24,PlanAktarılacakSayfa!$G:$G,'Hedef Girişi'!$C$3,PlanAktarılacakSayfa!$C:$C,Düzeyler!O$3)</f>
        <v>0</v>
      </c>
      <c r="P24" s="15">
        <f>COUNTIFS(PlanAktarılacakSayfa!$D:$D,Düzeyler!$C24,PlanAktarılacakSayfa!$G:$G,'Hedef Girişi'!$B$4)-Q24-R24</f>
        <v>0</v>
      </c>
      <c r="Q24" s="15">
        <f>COUNTIFS(PlanAktarılacakSayfa!$D:$D,Düzeyler!$C24,PlanAktarılacakSayfa!$G:$G,'Hedef Girişi'!$B$4,PlanAktarılacakSayfa!$C:$C,Düzeyler!Q$3)</f>
        <v>0</v>
      </c>
      <c r="R24" s="15">
        <f>COUNTIFS(PlanAktarılacakSayfa!$D:$D,Düzeyler!$C24,PlanAktarılacakSayfa!$G:$G,'Hedef Girişi'!$B$4,PlanAktarılacakSayfa!$C:$C,Düzeyler!R$3)</f>
        <v>0</v>
      </c>
      <c r="S24" s="15">
        <f>COUNTIFS(PlanAktarılacakSayfa!$D:$D,Düzeyler!$C24,PlanAktarılacakSayfa!$G:$G,'Hedef Girişi'!$C$4)-T24-U24</f>
        <v>0</v>
      </c>
      <c r="T24" s="15">
        <f>COUNTIFS(PlanAktarılacakSayfa!$D:$D,Düzeyler!$C24,PlanAktarılacakSayfa!$G:$G,'Hedef Girişi'!$C$4,PlanAktarılacakSayfa!$C:$C,Düzeyler!T$3)</f>
        <v>0</v>
      </c>
      <c r="U24" s="15">
        <f>COUNTIFS(PlanAktarılacakSayfa!$D:$D,Düzeyler!$C24,PlanAktarılacakSayfa!$G:$G,'Hedef Girişi'!$C$4,PlanAktarılacakSayfa!$C:$C,Düzeyler!U$3)</f>
        <v>0</v>
      </c>
      <c r="V24" s="16" t="s">
        <v>305</v>
      </c>
      <c r="W24" s="56" t="e">
        <f>LEFT(PlanAktarılacakSayfa!A1,SEARCH("20",PlanAktarılacakSayfa!A1)-2)</f>
        <v>#VALUE!</v>
      </c>
      <c r="X24" s="56"/>
      <c r="Y24" s="56"/>
      <c r="Z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</row>
    <row r="25" spans="1:40" x14ac:dyDescent="0.25">
      <c r="C25" s="2" t="s">
        <v>317</v>
      </c>
      <c r="D25" s="2">
        <f>COUNTIFS(PlanAktarılacakSayfa!$G:$G,'Hedef Girişi'!$B$2)-E26-F26-D26-E25-F25</f>
        <v>0</v>
      </c>
      <c r="E25" s="2">
        <f>COUNTIFS(PlanAktarılacakSayfa!$G:$G,'Hedef Girişi'!$B$2,PlanAktarılacakSayfa!$C:$C,Düzeyler!E$3)-E26</f>
        <v>0</v>
      </c>
      <c r="F25" s="2">
        <f>COUNTIFS(PlanAktarılacakSayfa!$G:$G,'Hedef Girişi'!$B$2,PlanAktarılacakSayfa!$C:$C,Düzeyler!F$3)-F26</f>
        <v>0</v>
      </c>
      <c r="G25" s="2">
        <f>COUNTIFS(PlanAktarılacakSayfa!$G:$G,'Hedef Girişi'!$C$2)-H26-I26-G26-H25-I25</f>
        <v>0</v>
      </c>
      <c r="H25" s="2">
        <f>COUNTIFS(PlanAktarılacakSayfa!$G:$G,'Hedef Girişi'!$C$2,PlanAktarılacakSayfa!$C:$C,Düzeyler!H$3)-H26</f>
        <v>0</v>
      </c>
      <c r="I25" s="2">
        <f>COUNTIFS(PlanAktarılacakSayfa!$G:$G,'Hedef Girişi'!$C$2,PlanAktarılacakSayfa!$C:$C,Düzeyler!I$3)-I26</f>
        <v>0</v>
      </c>
      <c r="J25" s="2">
        <f>COUNTIFS(PlanAktarılacakSayfa!$G:$G,'Hedef Girişi'!$B$3)-K26-L26-J26-K25-L25</f>
        <v>0</v>
      </c>
      <c r="K25" s="2">
        <f>COUNTIFS(PlanAktarılacakSayfa!$G:$G,'Hedef Girişi'!$B$3,PlanAktarılacakSayfa!$C:$C,Düzeyler!K$3)-K26</f>
        <v>0</v>
      </c>
      <c r="L25" s="2">
        <f>COUNTIFS(PlanAktarılacakSayfa!$G:$G,'Hedef Girişi'!$B$3,PlanAktarılacakSayfa!$C:$C,Düzeyler!L$3)-L26</f>
        <v>0</v>
      </c>
      <c r="M25" s="2">
        <f>COUNTIFS(PlanAktarılacakSayfa!$G:$G,'Hedef Girişi'!$C$3)-N26-O26-M26-N25-O25</f>
        <v>0</v>
      </c>
      <c r="N25" s="2">
        <f>COUNTIFS(PlanAktarılacakSayfa!$G:$G,'Hedef Girişi'!$C$3,PlanAktarılacakSayfa!$C:$C,Düzeyler!N$3)-N26</f>
        <v>0</v>
      </c>
      <c r="O25" s="2">
        <f>COUNTIFS(PlanAktarılacakSayfa!$G:$G,'Hedef Girişi'!$C$3,PlanAktarılacakSayfa!$C:$C,Düzeyler!O$3)-O26</f>
        <v>0</v>
      </c>
      <c r="P25" s="2">
        <f>COUNTIFS(PlanAktarılacakSayfa!$G:$G,'Hedef Girişi'!$B$4)-Q26-R26-P26-Q25-R25</f>
        <v>0</v>
      </c>
      <c r="Q25" s="2">
        <f>COUNTIFS(PlanAktarılacakSayfa!$G:$G,'Hedef Girişi'!$B$4,PlanAktarılacakSayfa!$C:$C,Düzeyler!Q$3)-Q26</f>
        <v>0</v>
      </c>
      <c r="R25" s="2">
        <f>COUNTIFS(PlanAktarılacakSayfa!$G:$G,'Hedef Girişi'!$B$4,PlanAktarılacakSayfa!$C:$C,Düzeyler!R$3)-R26</f>
        <v>0</v>
      </c>
      <c r="S25" s="2">
        <f>COUNTIFS(PlanAktarılacakSayfa!$G:$G,'Hedef Girişi'!$C$4)-T26-U26-S26-T25-U25</f>
        <v>0</v>
      </c>
      <c r="T25" s="2">
        <f>COUNTIFS(PlanAktarılacakSayfa!$G:$G,'Hedef Girişi'!$C$4,PlanAktarılacakSayfa!$C:$C,Düzeyler!T$3)-T26</f>
        <v>0</v>
      </c>
      <c r="U25" s="2">
        <f>COUNTIFS(PlanAktarılacakSayfa!$G:$G,'Hedef Girişi'!$C$4,PlanAktarılacakSayfa!$C:$C,Düzeyler!U$3)-U26</f>
        <v>0</v>
      </c>
      <c r="V25" s="16" t="s">
        <v>306</v>
      </c>
      <c r="W25" s="56" t="str">
        <f>IF(MATCH(V22,V4:V6,0)=MATCH("Değerlendirilen Okul Türü",AO4:AO7,0),"Hayır","Okul İsmi ile Okul Türü Uyumsuz")</f>
        <v>Hayır</v>
      </c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</row>
    <row r="26" spans="1:40" x14ac:dyDescent="0.25">
      <c r="C26" s="2" t="s">
        <v>302</v>
      </c>
      <c r="D26" s="2">
        <f>SUM(D4:D24)</f>
        <v>0</v>
      </c>
      <c r="E26" s="2">
        <f t="shared" ref="E26:U26" si="0">SUM(E4:E24)</f>
        <v>0</v>
      </c>
      <c r="F26" s="2">
        <f t="shared" si="0"/>
        <v>0</v>
      </c>
      <c r="G26" s="2">
        <f t="shared" si="0"/>
        <v>0</v>
      </c>
      <c r="H26" s="2">
        <f t="shared" si="0"/>
        <v>0</v>
      </c>
      <c r="I26" s="2">
        <f t="shared" si="0"/>
        <v>0</v>
      </c>
      <c r="J26" s="2">
        <f t="shared" si="0"/>
        <v>0</v>
      </c>
      <c r="K26" s="2">
        <f t="shared" si="0"/>
        <v>0</v>
      </c>
      <c r="L26" s="2">
        <f t="shared" si="0"/>
        <v>0</v>
      </c>
      <c r="M26" s="2">
        <f t="shared" si="0"/>
        <v>0</v>
      </c>
      <c r="N26" s="2">
        <f t="shared" si="0"/>
        <v>0</v>
      </c>
      <c r="O26" s="2">
        <f t="shared" si="0"/>
        <v>0</v>
      </c>
      <c r="P26" s="2">
        <f t="shared" ref="P26:R26" si="1">SUM(P4:P24)</f>
        <v>0</v>
      </c>
      <c r="Q26" s="2">
        <f t="shared" si="1"/>
        <v>0</v>
      </c>
      <c r="R26" s="2">
        <f t="shared" si="1"/>
        <v>0</v>
      </c>
      <c r="S26" s="2">
        <f t="shared" si="0"/>
        <v>0</v>
      </c>
      <c r="T26" s="2">
        <f t="shared" si="0"/>
        <v>0</v>
      </c>
      <c r="U26" s="2">
        <f t="shared" si="0"/>
        <v>0</v>
      </c>
      <c r="V26" s="2" t="s">
        <v>377</v>
      </c>
      <c r="W26" s="56" t="e">
        <f>IF(OR(LEN(W24)&lt;&gt;LEN(SUBSTITUTE(W24,"naokulu","")),LEN(W24)&lt;&gt;LEN(SUBSTITUTE(W24,"Özel Eğitim",""))),"Evet","Hayır")</f>
        <v>#VALUE!</v>
      </c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</row>
  </sheetData>
  <mergeCells count="12">
    <mergeCell ref="J1:L1"/>
    <mergeCell ref="M1:O1"/>
    <mergeCell ref="A4:A12"/>
    <mergeCell ref="A13:A21"/>
    <mergeCell ref="A22:A24"/>
    <mergeCell ref="D1:F1"/>
    <mergeCell ref="G1:I1"/>
    <mergeCell ref="W26:AN26"/>
    <mergeCell ref="W24:AN24"/>
    <mergeCell ref="W25:AN25"/>
    <mergeCell ref="P1:R1"/>
    <mergeCell ref="S1:U1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W72"/>
  <sheetViews>
    <sheetView topLeftCell="K1" workbookViewId="0">
      <selection activeCell="AB17" sqref="AB17"/>
    </sheetView>
  </sheetViews>
  <sheetFormatPr defaultRowHeight="15" x14ac:dyDescent="0.25"/>
  <cols>
    <col min="1" max="1" width="35.85546875" customWidth="1"/>
    <col min="2" max="2" width="58.85546875" customWidth="1"/>
    <col min="3" max="3" width="31.42578125" customWidth="1"/>
    <col min="4" max="4" width="32.140625" customWidth="1"/>
    <col min="5" max="6" width="22.28515625" customWidth="1"/>
    <col min="7" max="7" width="9.7109375" customWidth="1"/>
    <col min="8" max="8" width="20.7109375" customWidth="1"/>
    <col min="9" max="9" width="16.85546875" customWidth="1"/>
    <col min="10" max="10" width="12.7109375" customWidth="1"/>
    <col min="11" max="12" width="11.42578125" customWidth="1"/>
    <col min="13" max="13" width="9.85546875" customWidth="1"/>
    <col min="14" max="14" width="11.85546875" customWidth="1"/>
    <col min="18" max="18" width="29.85546875" bestFit="1" customWidth="1"/>
    <col min="19" max="19" width="7.140625" customWidth="1"/>
  </cols>
  <sheetData>
    <row r="1" spans="1:23" x14ac:dyDescent="0.25">
      <c r="A1" s="1" t="s">
        <v>51</v>
      </c>
      <c r="B1" s="1" t="s">
        <v>53</v>
      </c>
      <c r="C1" s="1" t="s">
        <v>52</v>
      </c>
      <c r="D1" s="12" t="s">
        <v>167</v>
      </c>
      <c r="E1" s="1" t="s">
        <v>168</v>
      </c>
      <c r="F1" s="1" t="s">
        <v>178</v>
      </c>
      <c r="G1" s="1" t="s">
        <v>179</v>
      </c>
      <c r="H1" s="1" t="s">
        <v>100</v>
      </c>
      <c r="I1" s="1" t="s">
        <v>100</v>
      </c>
      <c r="J1" s="1" t="s">
        <v>110</v>
      </c>
      <c r="K1" s="1" t="s">
        <v>52</v>
      </c>
      <c r="L1" s="1" t="s">
        <v>113</v>
      </c>
      <c r="M1" s="1" t="s">
        <v>108</v>
      </c>
      <c r="N1" s="1" t="s">
        <v>109</v>
      </c>
      <c r="O1" s="1" t="s">
        <v>146</v>
      </c>
      <c r="R1" t="s">
        <v>168</v>
      </c>
      <c r="S1" t="s">
        <v>180</v>
      </c>
      <c r="U1" t="s">
        <v>349</v>
      </c>
      <c r="V1" t="s">
        <v>287</v>
      </c>
      <c r="W1" t="s">
        <v>288</v>
      </c>
    </row>
    <row r="2" spans="1:23" x14ac:dyDescent="0.25">
      <c r="A2" t="s">
        <v>48</v>
      </c>
      <c r="B2" t="str">
        <f>C2&amp;" - "&amp;A2</f>
        <v>Aile İçi İletişim - Sosyal Duygusal Gelişim Alanı</v>
      </c>
      <c r="C2" t="s">
        <v>294</v>
      </c>
      <c r="D2" s="17" t="str">
        <f>IFERROR(IF(FIND("Anaokulu",PlanAktarılacakSayfa!A1)&gt;0,"","Okul Öncesi Değil"),"Okul Öncesi Değil")</f>
        <v>Okul Öncesi Değil</v>
      </c>
      <c r="E2" s="1" t="s">
        <v>101</v>
      </c>
      <c r="F2" s="1" t="s">
        <v>1099</v>
      </c>
      <c r="G2" s="1">
        <f>COUNTIF(PlanAktarılacakSayfa!I:I,"*"&amp;'Hedef Listesi'!F2&amp;"*")</f>
        <v>0</v>
      </c>
      <c r="H2" t="s">
        <v>101</v>
      </c>
      <c r="I2" t="s">
        <v>101</v>
      </c>
      <c r="J2" t="s">
        <v>111</v>
      </c>
      <c r="K2" t="s">
        <v>112</v>
      </c>
      <c r="L2" t="s">
        <v>114</v>
      </c>
      <c r="M2" t="s">
        <v>115</v>
      </c>
      <c r="N2" s="1" t="s">
        <v>116</v>
      </c>
      <c r="O2" t="s">
        <v>151</v>
      </c>
      <c r="P2" t="s">
        <v>112</v>
      </c>
      <c r="Q2">
        <f>COUNTIF(PlanAktarılacakSayfa!C:C,O2&amp;"*")</f>
        <v>0</v>
      </c>
      <c r="R2" t="s">
        <v>101</v>
      </c>
      <c r="S2">
        <f>COUNTIF(PlanAktarılacakSayfa!C:C,"*"&amp;'Hedef Listesi'!R2&amp;"*")</f>
        <v>0</v>
      </c>
      <c r="U2" t="s">
        <v>294</v>
      </c>
      <c r="V2" t="s">
        <v>294</v>
      </c>
      <c r="W2" t="s">
        <v>294</v>
      </c>
    </row>
    <row r="3" spans="1:23" x14ac:dyDescent="0.25">
      <c r="A3" t="s">
        <v>48</v>
      </c>
      <c r="B3" t="str">
        <f t="shared" ref="B3:B67" si="0">C3&amp;" - "&amp;A3</f>
        <v>Akran Zorbalığı - Sosyal Duygusal Gelişim Alanı</v>
      </c>
      <c r="C3" t="s">
        <v>268</v>
      </c>
      <c r="D3" s="17" t="str">
        <f>IFERROR(IF(FIND("İlkokul",PlanAktarılacakSayfa!A1)&gt;0,"","İlkokul Değil"),IFERROR(IF(FIND("I. Kademe",PlanAktarılacakSayfa!A1)&gt;0,"","İlkokul Değil"),"İlkokul Değil"))</f>
        <v>İlkokul Değil</v>
      </c>
      <c r="E3" s="1" t="s">
        <v>169</v>
      </c>
      <c r="F3" s="1" t="s">
        <v>1100</v>
      </c>
      <c r="G3" s="1">
        <f>COUNTIF(PlanAktarılacakSayfa!I:I,"*"&amp;'Hedef Listesi'!F3&amp;"*")</f>
        <v>0</v>
      </c>
      <c r="H3" s="1" t="s">
        <v>169</v>
      </c>
      <c r="I3" t="s">
        <v>102</v>
      </c>
      <c r="J3" t="s">
        <v>117</v>
      </c>
      <c r="K3" t="s">
        <v>112</v>
      </c>
      <c r="L3" t="s">
        <v>118</v>
      </c>
      <c r="M3" t="s">
        <v>119</v>
      </c>
      <c r="N3" s="1" t="s">
        <v>144</v>
      </c>
      <c r="O3" t="s">
        <v>152</v>
      </c>
      <c r="P3" t="s">
        <v>112</v>
      </c>
      <c r="Q3">
        <f>COUNTIF(PlanAktarılacakSayfa!C:C,O3&amp;"*")</f>
        <v>0</v>
      </c>
      <c r="R3" t="s">
        <v>169</v>
      </c>
      <c r="S3">
        <f>COUNTIF(PlanAktarılacakSayfa!C:C,"*"&amp;'Hedef Listesi'!R3&amp;"*")</f>
        <v>0</v>
      </c>
      <c r="U3" t="s">
        <v>268</v>
      </c>
      <c r="V3" t="s">
        <v>268</v>
      </c>
      <c r="W3" t="s">
        <v>268</v>
      </c>
    </row>
    <row r="4" spans="1:23" x14ac:dyDescent="0.25">
      <c r="A4" t="s">
        <v>48</v>
      </c>
      <c r="B4" t="str">
        <f t="shared" si="0"/>
        <v>Atılganlık - Sosyal Duygusal Gelişim Alanı</v>
      </c>
      <c r="C4" t="s">
        <v>20</v>
      </c>
      <c r="D4" s="17" t="str">
        <f>IFERROR(IF(FIND("Ortaokul",PlanAktarılacakSayfa!A1)&gt;0,"","Ortaokul Değil"),IFERROR(IF(FIND("II. Kademe",PlanAktarılacakSayfa!A1)&gt;0,"","Ortaokul Değil"),"Ortaokul Değil"))</f>
        <v>Ortaokul Değil</v>
      </c>
      <c r="E4" s="1" t="s">
        <v>170</v>
      </c>
      <c r="F4" s="1" t="s">
        <v>1101</v>
      </c>
      <c r="G4" s="1">
        <f>COUNTIF(PlanAktarılacakSayfa!I:I,"*"&amp;'Hedef Listesi'!F4&amp;"*")</f>
        <v>0</v>
      </c>
      <c r="H4" s="1" t="s">
        <v>169</v>
      </c>
      <c r="I4" t="s">
        <v>103</v>
      </c>
      <c r="J4" t="s">
        <v>142</v>
      </c>
      <c r="K4" t="s">
        <v>120</v>
      </c>
      <c r="L4" t="s">
        <v>121</v>
      </c>
      <c r="M4" t="s">
        <v>122</v>
      </c>
      <c r="N4" s="1" t="s">
        <v>145</v>
      </c>
      <c r="O4" t="s">
        <v>153</v>
      </c>
      <c r="P4" t="s">
        <v>154</v>
      </c>
      <c r="Q4">
        <f>COUNTIF(PlanAktarılacakSayfa!C:C,O4&amp;"*")</f>
        <v>0</v>
      </c>
      <c r="R4" t="s">
        <v>170</v>
      </c>
      <c r="S4">
        <f>COUNTIF(PlanAktarılacakSayfa!C:C,"*"&amp;'Hedef Listesi'!R4&amp;"*")</f>
        <v>0</v>
      </c>
      <c r="U4" t="s">
        <v>20</v>
      </c>
      <c r="V4" t="s">
        <v>20</v>
      </c>
      <c r="W4" t="s">
        <v>20</v>
      </c>
    </row>
    <row r="5" spans="1:23" x14ac:dyDescent="0.25">
      <c r="A5" t="s">
        <v>48</v>
      </c>
      <c r="B5" t="str">
        <f t="shared" si="0"/>
        <v>Bağımlılıkla Mücadele - Sosyal Duygusal Gelişim Alanı</v>
      </c>
      <c r="C5" t="s">
        <v>21</v>
      </c>
      <c r="D5" s="17" t="str">
        <f>IFERROR(IF(FIND("Lise",PlanAktarılacakSayfa!A1)&gt;0,"","Lise Değil"),IFERROR(IF(FIND("III. Kademe",PlanAktarılacakSayfa!A1)&gt;0,"","Lise Değil"),"Lise Değil"))</f>
        <v>Lise Değil</v>
      </c>
      <c r="E5" s="1" t="s">
        <v>171</v>
      </c>
      <c r="F5" s="1" t="s">
        <v>1102</v>
      </c>
      <c r="G5" s="1">
        <f>COUNTIF(PlanAktarılacakSayfa!I:I,"*"&amp;'Hedef Listesi'!F5&amp;"*")</f>
        <v>0</v>
      </c>
      <c r="H5" s="1" t="s">
        <v>169</v>
      </c>
      <c r="I5" t="s">
        <v>103</v>
      </c>
      <c r="J5" t="s">
        <v>143</v>
      </c>
      <c r="K5" t="s">
        <v>120</v>
      </c>
      <c r="L5" t="s">
        <v>123</v>
      </c>
      <c r="M5" t="s">
        <v>124</v>
      </c>
      <c r="N5" s="1" t="s">
        <v>145</v>
      </c>
      <c r="O5" t="s">
        <v>153</v>
      </c>
      <c r="P5" t="s">
        <v>154</v>
      </c>
      <c r="Q5">
        <f>COUNTIF(PlanAktarılacakSayfa!C:C,O5&amp;"*")</f>
        <v>0</v>
      </c>
      <c r="R5" t="s">
        <v>171</v>
      </c>
      <c r="S5">
        <f>COUNTIF(PlanAktarılacakSayfa!C:C,"*"&amp;'Hedef Listesi'!R5&amp;"*")</f>
        <v>0</v>
      </c>
      <c r="U5" t="s">
        <v>1078</v>
      </c>
      <c r="V5" t="s">
        <v>1078</v>
      </c>
      <c r="W5" t="s">
        <v>1078</v>
      </c>
    </row>
    <row r="6" spans="1:23" x14ac:dyDescent="0.25">
      <c r="A6" t="s">
        <v>48</v>
      </c>
      <c r="B6" t="str">
        <f t="shared" si="0"/>
        <v>Bilinçli Teknoloji Kullanımı - Sosyal Duygusal Gelişim Alanı</v>
      </c>
      <c r="C6" t="s">
        <v>22</v>
      </c>
      <c r="D6" s="17" t="str">
        <f>IFERROR(IF(FIND("Özel Eğitim Meslek Okulu",PlanAktarılacakSayfa!A1)&gt;0,"","Özel Eğitim Meslek Okulu Değil"),"Özel Eğitim Meslek Okulu Değil")</f>
        <v>Özel Eğitim Meslek Okulu Değil</v>
      </c>
      <c r="E6" s="1" t="s">
        <v>165</v>
      </c>
      <c r="F6" s="1" t="s">
        <v>1103</v>
      </c>
      <c r="G6" s="1">
        <f>COUNTIF(PlanAktarılacakSayfa!I:I,"*"&amp;'Hedef Listesi'!F6&amp;"*")</f>
        <v>0</v>
      </c>
      <c r="H6" s="1" t="s">
        <v>170</v>
      </c>
      <c r="I6" t="s">
        <v>104</v>
      </c>
      <c r="J6" t="s">
        <v>125</v>
      </c>
      <c r="K6" t="s">
        <v>126</v>
      </c>
      <c r="L6" t="s">
        <v>127</v>
      </c>
      <c r="M6" t="s">
        <v>128</v>
      </c>
      <c r="N6" s="1" t="s">
        <v>148</v>
      </c>
      <c r="O6" t="s">
        <v>155</v>
      </c>
      <c r="P6" t="s">
        <v>112</v>
      </c>
      <c r="Q6">
        <f>COUNTIF(PlanAktarılacakSayfa!C:C,O6&amp;"*")</f>
        <v>0</v>
      </c>
      <c r="R6" t="s">
        <v>165</v>
      </c>
      <c r="S6">
        <f>COUNTIF(PlanAktarılacakSayfa!C:C,"*"&amp;'Hedef Listesi'!R6&amp;"*")</f>
        <v>0</v>
      </c>
      <c r="U6" t="s">
        <v>22</v>
      </c>
      <c r="V6" t="s">
        <v>22</v>
      </c>
      <c r="W6" t="s">
        <v>22</v>
      </c>
    </row>
    <row r="7" spans="1:23" x14ac:dyDescent="0.25">
      <c r="A7" t="s">
        <v>48</v>
      </c>
      <c r="B7" t="str">
        <f t="shared" si="0"/>
        <v>Bireysel Farklılıklara Saygı - Sosyal Duygusal Gelişim Alanı</v>
      </c>
      <c r="C7" t="s">
        <v>23</v>
      </c>
      <c r="D7" s="18" t="str">
        <f ca="1">IFERROR(INDIRECT("E"&amp;MATCH("",D2:D6,0)+1),"Okul Bilgisi Girilmemiş")</f>
        <v>Okul Bilgisi Girilmemiş</v>
      </c>
      <c r="F7" t="s">
        <v>1104</v>
      </c>
      <c r="G7" s="1">
        <f>COUNTIF(PlanAktarılacakSayfa!I:I,"*"&amp;'Hedef Listesi'!F7&amp;"*")</f>
        <v>0</v>
      </c>
      <c r="H7" s="1" t="s">
        <v>170</v>
      </c>
      <c r="I7" t="s">
        <v>105</v>
      </c>
      <c r="J7" t="s">
        <v>129</v>
      </c>
      <c r="K7" t="s">
        <v>130</v>
      </c>
      <c r="L7" t="s">
        <v>131</v>
      </c>
      <c r="M7" t="s">
        <v>132</v>
      </c>
      <c r="N7" s="1" t="s">
        <v>149</v>
      </c>
      <c r="O7" t="s">
        <v>156</v>
      </c>
      <c r="P7" t="s">
        <v>130</v>
      </c>
      <c r="Q7">
        <f>COUNTIF(PlanAktarılacakSayfa!C:C,O7&amp;"*")</f>
        <v>0</v>
      </c>
      <c r="R7" t="str">
        <f ca="1">D7</f>
        <v>Okul Bilgisi Girilmemiş</v>
      </c>
      <c r="U7" t="s">
        <v>23</v>
      </c>
      <c r="V7" t="s">
        <v>23</v>
      </c>
      <c r="W7" t="s">
        <v>23</v>
      </c>
    </row>
    <row r="8" spans="1:23" x14ac:dyDescent="0.25">
      <c r="A8" t="s">
        <v>48</v>
      </c>
      <c r="B8" t="str">
        <f t="shared" si="0"/>
        <v>Cinsel Eğitim - Sosyal Duygusal Gelişim Alanı</v>
      </c>
      <c r="C8" t="s">
        <v>324</v>
      </c>
      <c r="D8" s="1">
        <f ca="1">COUNTIF(H2:H12,D7)</f>
        <v>0</v>
      </c>
      <c r="F8" t="s">
        <v>1105</v>
      </c>
      <c r="G8" s="1">
        <f>COUNTIF(PlanAktarılacakSayfa!I:I,"*"&amp;'Hedef Listesi'!F8&amp;"*")</f>
        <v>0</v>
      </c>
      <c r="H8" s="1" t="s">
        <v>171</v>
      </c>
      <c r="I8" t="s">
        <v>106</v>
      </c>
      <c r="J8" t="s">
        <v>133</v>
      </c>
      <c r="K8" t="s">
        <v>134</v>
      </c>
      <c r="L8" t="s">
        <v>135</v>
      </c>
      <c r="M8" t="s">
        <v>136</v>
      </c>
      <c r="N8" s="1" t="s">
        <v>150</v>
      </c>
      <c r="O8" t="s">
        <v>157</v>
      </c>
      <c r="P8" t="s">
        <v>158</v>
      </c>
      <c r="Q8">
        <f>COUNTIF(PlanAktarılacakSayfa!C:C,O8&amp;"*")</f>
        <v>0</v>
      </c>
      <c r="R8" t="str">
        <f ca="1">IF(AND(R7=R2,SUM(S3:S6)=0),"Kazanımlar Okul Öncesinden Seçilmiştir",IF(AND(R7=R3,SUM(S4:S6)=0),"Kazanımlar İlkokuldan Seçilmiştir",IF(AND(R7=R4,SUM(S2:S3,S5:S6)=0),"Kazanımlar Ortaokuldan Seçilmiştir",IF(AND(R7=R5,SUM(S2:S4,S6)=0),"Kazanımlar Liseden Seçilmiştir",IF(AND(R7=R6,SUM(S2:S5)=0),"Kazanımlar Özel Eğitim Meslek Okulundan Seçilmiştir",IF(AND(NOT(ISERROR(SEARCH("*İmam*",Düzeyler!W24))),NOT(ISERROR(LOOKUP("5-İmam*",'Hedef Listesi'!F:F))),SUM(S2:S3,S6)=0),"Kazanımlar Ortaokul ve Liseden Seçilmiştir","Kazanımlar Uygun Seçilmemiştir"))))))</f>
        <v>Kazanımlar Uygun Seçilmemiştir</v>
      </c>
      <c r="U8" t="s">
        <v>324</v>
      </c>
      <c r="V8" t="s">
        <v>324</v>
      </c>
      <c r="W8" t="s">
        <v>324</v>
      </c>
    </row>
    <row r="9" spans="1:23" x14ac:dyDescent="0.25">
      <c r="A9" t="s">
        <v>48</v>
      </c>
      <c r="B9" t="str">
        <f t="shared" si="0"/>
        <v>Çatışma Çözme Becerileri - Sosyal Duygusal Gelişim Alanı</v>
      </c>
      <c r="C9" t="s">
        <v>24</v>
      </c>
      <c r="D9" t="str">
        <f ca="1">IF(AND(D7=E2,Q2&gt;0),"SRP Rehber Öğretmen Etkinliğine Yer Verilmiştir",IF(AND(D7=E3,SUM(Q3:Q5)&gt;=D8),"SRP Rehber Öğretmen Etkinliğine Yer Verilmiştir",IF(AND(D7=E4,SUM(Q6:Q7)&gt;=D8),"SRP Rehber Öğretmen Etkinliğine Yer Verilmiştir",IF(AND(D7=E5,SUM(Q8:Q10)&gt;=D8),"SRP Rehber Öğretmen Etkinliğine Yer Verilmiştir",IF(AND(D7=E6,SUM(Q11:Q12)&gt;=D8),"SRP Rehber Öğretmen Etkinliğine Yer Verilmiştir","SRP Rehber Öğretmen Etkinliğine Eksik veya Hiç Yer Verilmemiş")))))</f>
        <v>SRP Rehber Öğretmen Etkinliğine Eksik veya Hiç Yer Verilmemiş</v>
      </c>
      <c r="F9" t="s">
        <v>1106</v>
      </c>
      <c r="G9" s="1">
        <f>COUNTIF(PlanAktarılacakSayfa!I:I,"*"&amp;'Hedef Listesi'!F9&amp;"*")</f>
        <v>0</v>
      </c>
      <c r="H9" s="1" t="s">
        <v>171</v>
      </c>
      <c r="I9" t="s">
        <v>106</v>
      </c>
      <c r="J9" t="s">
        <v>137</v>
      </c>
      <c r="K9" t="s">
        <v>112</v>
      </c>
      <c r="L9" t="s">
        <v>138</v>
      </c>
      <c r="M9" t="s">
        <v>139</v>
      </c>
      <c r="N9" s="1" t="s">
        <v>116</v>
      </c>
      <c r="O9" t="s">
        <v>157</v>
      </c>
      <c r="P9" t="s">
        <v>112</v>
      </c>
      <c r="Q9">
        <f>COUNTIF(PlanAktarılacakSayfa!C:C,O9&amp;"*")</f>
        <v>0</v>
      </c>
      <c r="R9" t="str">
        <f>IF(ISERROR(SEARCH("Anasınıfı*",F:F)),"Anasınıfı  Bulunmamaktadır","Anasınıfı Bulunmaktadır")</f>
        <v>Anasınıfı  Bulunmamaktadır</v>
      </c>
      <c r="U9" t="s">
        <v>24</v>
      </c>
      <c r="V9" t="s">
        <v>24</v>
      </c>
      <c r="W9" t="s">
        <v>24</v>
      </c>
    </row>
    <row r="10" spans="1:23" x14ac:dyDescent="0.25">
      <c r="A10" t="s">
        <v>48</v>
      </c>
      <c r="B10" t="str">
        <f t="shared" si="0"/>
        <v>Değişen Yaşam Koşullarına Uyum - Sosyal Duygusal Gelişim Alanı</v>
      </c>
      <c r="C10" t="s">
        <v>325</v>
      </c>
      <c r="F10" t="s">
        <v>1107</v>
      </c>
      <c r="G10" s="1">
        <f>COUNTIF(PlanAktarılacakSayfa!I:I,"*"&amp;'Hedef Listesi'!F10&amp;"*")</f>
        <v>0</v>
      </c>
      <c r="H10" s="1" t="s">
        <v>171</v>
      </c>
      <c r="I10" t="s">
        <v>107</v>
      </c>
      <c r="J10" t="s">
        <v>125</v>
      </c>
      <c r="K10" t="s">
        <v>140</v>
      </c>
      <c r="L10" t="s">
        <v>127</v>
      </c>
      <c r="M10" t="s">
        <v>141</v>
      </c>
      <c r="N10" s="1" t="s">
        <v>148</v>
      </c>
      <c r="O10" t="s">
        <v>159</v>
      </c>
      <c r="P10" t="s">
        <v>140</v>
      </c>
      <c r="Q10">
        <f>COUNTIF(PlanAktarılacakSayfa!C:C,O10&amp;"*")</f>
        <v>0</v>
      </c>
      <c r="U10" t="s">
        <v>325</v>
      </c>
      <c r="V10" t="s">
        <v>325</v>
      </c>
      <c r="W10" t="s">
        <v>325</v>
      </c>
    </row>
    <row r="11" spans="1:23" x14ac:dyDescent="0.25">
      <c r="A11" t="s">
        <v>48</v>
      </c>
      <c r="B11" t="str">
        <f t="shared" si="0"/>
        <v>Duygu Düzenleme - Sosyal Duygusal Gelişim Alanı</v>
      </c>
      <c r="C11" t="s">
        <v>326</v>
      </c>
      <c r="F11" t="s">
        <v>1108</v>
      </c>
      <c r="G11" s="1">
        <f>COUNTIF(PlanAktarılacakSayfa!I:I,"*"&amp;'Hedef Listesi'!F11&amp;"*")</f>
        <v>0</v>
      </c>
      <c r="H11" s="1" t="s">
        <v>165</v>
      </c>
      <c r="I11" s="1" t="s">
        <v>165</v>
      </c>
      <c r="J11" s="1" t="s">
        <v>137</v>
      </c>
      <c r="K11" t="s">
        <v>162</v>
      </c>
      <c r="N11" s="1" t="s">
        <v>147</v>
      </c>
      <c r="O11" t="s">
        <v>161</v>
      </c>
      <c r="P11" t="s">
        <v>162</v>
      </c>
      <c r="Q11">
        <f>COUNTIF(PlanAktarılacakSayfa!C:C,O11&amp;"*")</f>
        <v>0</v>
      </c>
      <c r="U11" t="s">
        <v>326</v>
      </c>
      <c r="V11" t="s">
        <v>326</v>
      </c>
      <c r="W11" t="s">
        <v>326</v>
      </c>
    </row>
    <row r="12" spans="1:23" x14ac:dyDescent="0.25">
      <c r="A12" t="s">
        <v>48</v>
      </c>
      <c r="B12" t="str">
        <f t="shared" si="0"/>
        <v>Duygu Farkındalığı - Sosyal Duygusal Gelişim Alanı</v>
      </c>
      <c r="C12" t="s">
        <v>327</v>
      </c>
      <c r="F12" t="s">
        <v>1109</v>
      </c>
      <c r="G12" s="1">
        <f>COUNTIF(PlanAktarılacakSayfa!I:I,"*"&amp;'Hedef Listesi'!F12&amp;"*")</f>
        <v>0</v>
      </c>
      <c r="H12" s="1" t="s">
        <v>165</v>
      </c>
      <c r="I12" s="1" t="s">
        <v>165</v>
      </c>
      <c r="J12" s="1" t="s">
        <v>166</v>
      </c>
      <c r="K12" t="s">
        <v>164</v>
      </c>
      <c r="N12" s="1" t="s">
        <v>160</v>
      </c>
      <c r="O12" t="s">
        <v>163</v>
      </c>
      <c r="P12" t="s">
        <v>164</v>
      </c>
      <c r="Q12">
        <f>COUNTIF(PlanAktarılacakSayfa!C:C,O12&amp;"*")</f>
        <v>0</v>
      </c>
      <c r="U12" t="s">
        <v>327</v>
      </c>
      <c r="V12" t="s">
        <v>327</v>
      </c>
      <c r="W12" t="s">
        <v>327</v>
      </c>
    </row>
    <row r="13" spans="1:23" x14ac:dyDescent="0.25">
      <c r="A13" t="s">
        <v>48</v>
      </c>
      <c r="B13" t="str">
        <f t="shared" si="0"/>
        <v>Eleştiriye Tolerans Gösterme - Sosyal Duygusal Gelişim Alanı</v>
      </c>
      <c r="C13" t="s">
        <v>328</v>
      </c>
      <c r="F13" t="s">
        <v>1110</v>
      </c>
      <c r="G13" s="1">
        <f>COUNTIF(PlanAktarılacakSayfa!I:I,"*"&amp;'Hedef Listesi'!F13&amp;"*")</f>
        <v>0</v>
      </c>
      <c r="U13" t="s">
        <v>328</v>
      </c>
      <c r="V13" t="s">
        <v>328</v>
      </c>
      <c r="W13" t="s">
        <v>328</v>
      </c>
    </row>
    <row r="14" spans="1:23" x14ac:dyDescent="0.25">
      <c r="A14" t="s">
        <v>48</v>
      </c>
      <c r="B14" t="str">
        <f t="shared" si="0"/>
        <v>Etik Davranış - Sosyal Duygusal Gelişim Alanı</v>
      </c>
      <c r="C14" t="s">
        <v>344</v>
      </c>
      <c r="F14" t="s">
        <v>1111</v>
      </c>
      <c r="G14" s="1">
        <f>COUNTIF(PlanAktarılacakSayfa!I:I,"*"&amp;'Hedef Listesi'!F14&amp;"*")</f>
        <v>0</v>
      </c>
      <c r="U14" t="s">
        <v>344</v>
      </c>
      <c r="V14" t="s">
        <v>344</v>
      </c>
      <c r="W14" t="s">
        <v>344</v>
      </c>
    </row>
    <row r="15" spans="1:23" x14ac:dyDescent="0.25">
      <c r="A15" t="s">
        <v>48</v>
      </c>
      <c r="B15" t="str">
        <f t="shared" si="0"/>
        <v>Gelişim Dönemi Özellikleri - Sosyal Duygusal Gelişim Alanı</v>
      </c>
      <c r="C15" t="s">
        <v>25</v>
      </c>
      <c r="F15" t="s">
        <v>1112</v>
      </c>
      <c r="G15" s="1">
        <f>COUNTIF(PlanAktarılacakSayfa!I:I,"*"&amp;'Hedef Listesi'!F15&amp;"*")</f>
        <v>0</v>
      </c>
      <c r="U15" t="s">
        <v>1079</v>
      </c>
      <c r="V15" t="s">
        <v>1079</v>
      </c>
      <c r="W15" t="s">
        <v>1079</v>
      </c>
    </row>
    <row r="16" spans="1:23" x14ac:dyDescent="0.25">
      <c r="A16" t="s">
        <v>48</v>
      </c>
      <c r="B16" t="str">
        <f t="shared" si="0"/>
        <v>Girişimcilik - Sosyal Duygusal Gelişim Alanı</v>
      </c>
      <c r="C16" t="s">
        <v>345</v>
      </c>
      <c r="F16" t="s">
        <v>1113</v>
      </c>
      <c r="G16" s="1">
        <f>COUNTIF(PlanAktarılacakSayfa!I:I,"*"&amp;'Hedef Listesi'!F16&amp;"*")</f>
        <v>0</v>
      </c>
      <c r="U16" t="s">
        <v>345</v>
      </c>
      <c r="V16" t="s">
        <v>345</v>
      </c>
      <c r="W16" t="s">
        <v>345</v>
      </c>
    </row>
    <row r="17" spans="1:23" x14ac:dyDescent="0.25">
      <c r="A17" t="s">
        <v>48</v>
      </c>
      <c r="B17" t="str">
        <f t="shared" si="0"/>
        <v>Hak ve Sorumluluklarını Bilme - Sosyal Duygusal Gelişim Alanı</v>
      </c>
      <c r="C17" t="s">
        <v>26</v>
      </c>
      <c r="F17" t="s">
        <v>1114</v>
      </c>
      <c r="G17" s="1">
        <f>COUNTIF(PlanAktarılacakSayfa!I:I,"*"&amp;'Hedef Listesi'!F17&amp;"*")</f>
        <v>0</v>
      </c>
      <c r="U17" t="s">
        <v>1076</v>
      </c>
      <c r="V17" t="s">
        <v>1076</v>
      </c>
      <c r="W17" t="s">
        <v>26</v>
      </c>
    </row>
    <row r="18" spans="1:23" x14ac:dyDescent="0.25">
      <c r="A18" t="s">
        <v>48</v>
      </c>
      <c r="B18" t="str">
        <f t="shared" si="0"/>
        <v>Hayat Boyu Öğrenme - Sosyal Duygusal Gelişim Alanı</v>
      </c>
      <c r="C18" t="s">
        <v>329</v>
      </c>
      <c r="F18" t="s">
        <v>1115</v>
      </c>
      <c r="G18">
        <f>COUNTIF(PlanAktarılacakSayfa!I:I,"*"&amp;'Hedef Listesi'!F18&amp;"*")</f>
        <v>0</v>
      </c>
      <c r="U18" t="s">
        <v>329</v>
      </c>
      <c r="V18" t="s">
        <v>329</v>
      </c>
      <c r="W18" t="s">
        <v>329</v>
      </c>
    </row>
    <row r="19" spans="1:23" x14ac:dyDescent="0.25">
      <c r="A19" t="s">
        <v>48</v>
      </c>
      <c r="B19" t="str">
        <f t="shared" si="0"/>
        <v>İhmal İstismardan Korunma - Sosyal Duygusal Gelişim Alanı</v>
      </c>
      <c r="C19" t="s">
        <v>27</v>
      </c>
      <c r="F19" t="s">
        <v>1116</v>
      </c>
      <c r="G19">
        <f>COUNTIF(PlanAktarılacakSayfa!I:I,"*"&amp;'Hedef Listesi'!F19&amp;"*")</f>
        <v>0</v>
      </c>
      <c r="U19" s="1" t="s">
        <v>1092</v>
      </c>
      <c r="V19" s="1" t="s">
        <v>1092</v>
      </c>
      <c r="W19" s="1" t="s">
        <v>1092</v>
      </c>
    </row>
    <row r="20" spans="1:23" x14ac:dyDescent="0.25">
      <c r="A20" t="s">
        <v>48</v>
      </c>
      <c r="B20" t="str">
        <f t="shared" si="0"/>
        <v>İletişim Becerileri - Sosyal Duygusal Gelişim Alanı</v>
      </c>
      <c r="C20" s="1" t="s">
        <v>28</v>
      </c>
      <c r="F20" t="s">
        <v>1117</v>
      </c>
      <c r="G20">
        <f>COUNTIF(PlanAktarılacakSayfa!I:I,"*"&amp;'Hedef Listesi'!F20&amp;"*")</f>
        <v>0</v>
      </c>
      <c r="U20" t="s">
        <v>28</v>
      </c>
      <c r="V20" t="s">
        <v>28</v>
      </c>
      <c r="W20" t="s">
        <v>28</v>
      </c>
    </row>
    <row r="21" spans="1:23" x14ac:dyDescent="0.25">
      <c r="A21" t="s">
        <v>48</v>
      </c>
      <c r="B21" t="str">
        <f t="shared" si="0"/>
        <v>İşbirliği Geliştirme - Sosyal Duygusal Gelişim Alanı</v>
      </c>
      <c r="C21" t="s">
        <v>29</v>
      </c>
      <c r="F21" t="s">
        <v>1118</v>
      </c>
      <c r="G21">
        <f>COUNTIF(PlanAktarılacakSayfa!I:I,"*"&amp;'Hedef Listesi'!F21&amp;"*")</f>
        <v>0</v>
      </c>
      <c r="U21" t="s">
        <v>29</v>
      </c>
      <c r="V21" t="s">
        <v>29</v>
      </c>
      <c r="W21" t="s">
        <v>29</v>
      </c>
    </row>
    <row r="22" spans="1:23" x14ac:dyDescent="0.25">
      <c r="A22" t="s">
        <v>48</v>
      </c>
      <c r="B22" t="str">
        <f t="shared" si="0"/>
        <v>Karar Verme Becerisi - Sosyal Duygusal Gelişim Alanı</v>
      </c>
      <c r="C22" t="s">
        <v>30</v>
      </c>
      <c r="F22" t="s">
        <v>1119</v>
      </c>
      <c r="G22">
        <f>COUNTIF(PlanAktarılacakSayfa!I:I,"*"&amp;'Hedef Listesi'!F22&amp;"*")</f>
        <v>0</v>
      </c>
      <c r="U22" t="s">
        <v>30</v>
      </c>
      <c r="V22" t="s">
        <v>30</v>
      </c>
      <c r="W22" t="s">
        <v>30</v>
      </c>
    </row>
    <row r="23" spans="1:23" x14ac:dyDescent="0.25">
      <c r="A23" t="s">
        <v>48</v>
      </c>
      <c r="B23" t="str">
        <f t="shared" si="0"/>
        <v>Mükemmelliyetçilik - Sosyal Duygusal Gelişim Alanı</v>
      </c>
      <c r="C23" t="s">
        <v>330</v>
      </c>
      <c r="F23" t="s">
        <v>1120</v>
      </c>
      <c r="G23">
        <f>COUNTIF(PlanAktarılacakSayfa!I:I,"*"&amp;'Hedef Listesi'!F23&amp;"*")</f>
        <v>0</v>
      </c>
      <c r="U23" t="s">
        <v>330</v>
      </c>
      <c r="V23" t="s">
        <v>330</v>
      </c>
      <c r="W23" t="s">
        <v>330</v>
      </c>
    </row>
    <row r="24" spans="1:23" x14ac:dyDescent="0.25">
      <c r="A24" t="s">
        <v>48</v>
      </c>
      <c r="B24" t="str">
        <f t="shared" si="0"/>
        <v>Otokontrol - Sosyal Duygusal Gelişim Alanı</v>
      </c>
      <c r="C24" t="s">
        <v>289</v>
      </c>
      <c r="F24" t="s">
        <v>1121</v>
      </c>
      <c r="G24">
        <f>COUNTIF(PlanAktarılacakSayfa!I:I,"*"&amp;'Hedef Listesi'!F24&amp;"*")</f>
        <v>0</v>
      </c>
      <c r="U24" t="s">
        <v>289</v>
      </c>
      <c r="V24" t="s">
        <v>289</v>
      </c>
      <c r="W24" t="s">
        <v>289</v>
      </c>
    </row>
    <row r="25" spans="1:23" x14ac:dyDescent="0.25">
      <c r="A25" t="s">
        <v>48</v>
      </c>
      <c r="B25" t="str">
        <f t="shared" si="0"/>
        <v>Öfke Yönetimi - Sosyal Duygusal Gelişim Alanı</v>
      </c>
      <c r="C25" t="s">
        <v>298</v>
      </c>
      <c r="F25" t="s">
        <v>1122</v>
      </c>
      <c r="G25">
        <f>COUNTIF(PlanAktarılacakSayfa!I:I,"*"&amp;'Hedef Listesi'!F25&amp;"*")</f>
        <v>0</v>
      </c>
      <c r="U25" t="s">
        <v>298</v>
      </c>
      <c r="V25" t="s">
        <v>298</v>
      </c>
      <c r="W25" t="s">
        <v>298</v>
      </c>
    </row>
    <row r="26" spans="1:23" x14ac:dyDescent="0.25">
      <c r="A26" t="s">
        <v>48</v>
      </c>
      <c r="B26" t="str">
        <f t="shared" si="0"/>
        <v>Öz Farkındalığı Geliştirme - Sosyal Duygusal Gelişim Alanı</v>
      </c>
      <c r="C26" t="s">
        <v>331</v>
      </c>
      <c r="F26" t="s">
        <v>1123</v>
      </c>
      <c r="G26">
        <f>COUNTIF(PlanAktarılacakSayfa!I:I,"*"&amp;'Hedef Listesi'!F26&amp;"*")</f>
        <v>0</v>
      </c>
      <c r="U26" t="s">
        <v>331</v>
      </c>
      <c r="V26" t="s">
        <v>331</v>
      </c>
      <c r="W26" t="s">
        <v>331</v>
      </c>
    </row>
    <row r="27" spans="1:23" x14ac:dyDescent="0.25">
      <c r="A27" t="s">
        <v>48</v>
      </c>
      <c r="B27" t="str">
        <f t="shared" si="0"/>
        <v>Özgüven Geliştirme - Sosyal Duygusal Gelişim Alanı</v>
      </c>
      <c r="C27" t="s">
        <v>31</v>
      </c>
      <c r="F27" t="s">
        <v>1124</v>
      </c>
      <c r="G27">
        <f>COUNTIF(PlanAktarılacakSayfa!I:I,"*"&amp;'Hedef Listesi'!F27&amp;"*")</f>
        <v>0</v>
      </c>
      <c r="U27" t="s">
        <v>31</v>
      </c>
      <c r="V27" t="s">
        <v>31</v>
      </c>
      <c r="W27" t="s">
        <v>31</v>
      </c>
    </row>
    <row r="28" spans="1:23" x14ac:dyDescent="0.25">
      <c r="A28" t="s">
        <v>48</v>
      </c>
      <c r="B28" t="str">
        <f t="shared" si="0"/>
        <v>Özsaygı Geliştirme - Sosyal Duygusal Gelişim Alanı</v>
      </c>
      <c r="C28" t="s">
        <v>32</v>
      </c>
      <c r="F28" t="s">
        <v>1125</v>
      </c>
      <c r="G28">
        <f>COUNTIF(PlanAktarılacakSayfa!I:I,"*"&amp;'Hedef Listesi'!F28&amp;"*")</f>
        <v>0</v>
      </c>
      <c r="U28" t="s">
        <v>32</v>
      </c>
      <c r="V28" t="s">
        <v>32</v>
      </c>
      <c r="W28" t="s">
        <v>32</v>
      </c>
    </row>
    <row r="29" spans="1:23" x14ac:dyDescent="0.25">
      <c r="A29" t="s">
        <v>48</v>
      </c>
      <c r="B29" t="str">
        <f t="shared" si="0"/>
        <v>Problem Çözme Becerileri - Sosyal Duygusal Gelişim Alanı</v>
      </c>
      <c r="C29" t="s">
        <v>33</v>
      </c>
      <c r="F29" t="s">
        <v>1126</v>
      </c>
      <c r="G29">
        <f>COUNTIF(PlanAktarılacakSayfa!I:I,"*"&amp;'Hedef Listesi'!F29&amp;"*")</f>
        <v>0</v>
      </c>
      <c r="U29" t="s">
        <v>33</v>
      </c>
      <c r="V29" t="s">
        <v>33</v>
      </c>
      <c r="W29" t="s">
        <v>33</v>
      </c>
    </row>
    <row r="30" spans="1:23" x14ac:dyDescent="0.25">
      <c r="A30" t="s">
        <v>48</v>
      </c>
      <c r="B30" t="str">
        <f t="shared" si="0"/>
        <v>Psikolojik Sağlamlık - Sosyal Duygusal Gelişim Alanı</v>
      </c>
      <c r="C30" t="s">
        <v>34</v>
      </c>
      <c r="F30" t="s">
        <v>1127</v>
      </c>
      <c r="G30">
        <f>COUNTIF(PlanAktarılacakSayfa!I:I,"*"&amp;'Hedef Listesi'!F30&amp;"*")</f>
        <v>0</v>
      </c>
      <c r="U30" t="s">
        <v>34</v>
      </c>
      <c r="V30" t="s">
        <v>34</v>
      </c>
      <c r="W30" t="s">
        <v>34</v>
      </c>
    </row>
    <row r="31" spans="1:23" x14ac:dyDescent="0.25">
      <c r="A31" t="s">
        <v>48</v>
      </c>
      <c r="B31" t="str">
        <f t="shared" si="0"/>
        <v>Sağlıklı Yaşam - Sosyal Duygusal Gelişim Alanı</v>
      </c>
      <c r="C31" t="s">
        <v>35</v>
      </c>
      <c r="F31" t="s">
        <v>1128</v>
      </c>
      <c r="G31">
        <f>COUNTIF(PlanAktarılacakSayfa!I:I,"*"&amp;'Hedef Listesi'!F31&amp;"*")</f>
        <v>0</v>
      </c>
      <c r="U31" t="s">
        <v>35</v>
      </c>
      <c r="V31" t="s">
        <v>35</v>
      </c>
      <c r="W31" t="s">
        <v>35</v>
      </c>
    </row>
    <row r="32" spans="1:23" x14ac:dyDescent="0.25">
      <c r="A32" t="s">
        <v>48</v>
      </c>
      <c r="B32" t="str">
        <f t="shared" si="0"/>
        <v>Sınır Koyma - Sosyal Duygusal Gelişim Alanı</v>
      </c>
      <c r="C32" t="s">
        <v>323</v>
      </c>
      <c r="F32" t="s">
        <v>1129</v>
      </c>
      <c r="G32">
        <f>COUNTIF(PlanAktarılacakSayfa!I:I,"*"&amp;'Hedef Listesi'!F32&amp;"*")</f>
        <v>0</v>
      </c>
      <c r="U32" t="s">
        <v>323</v>
      </c>
      <c r="V32" t="s">
        <v>323</v>
      </c>
      <c r="W32" t="s">
        <v>323</v>
      </c>
    </row>
    <row r="33" spans="1:23" x14ac:dyDescent="0.25">
      <c r="A33" t="s">
        <v>48</v>
      </c>
      <c r="B33" t="str">
        <f t="shared" si="0"/>
        <v>Sosyal Beceriler - Sosyal Duygusal Gelişim Alanı</v>
      </c>
      <c r="C33" t="s">
        <v>290</v>
      </c>
      <c r="F33" t="s">
        <v>1130</v>
      </c>
      <c r="G33">
        <f>COUNTIF(PlanAktarılacakSayfa!I:I,"*"&amp;'Hedef Listesi'!F33&amp;"*")</f>
        <v>0</v>
      </c>
      <c r="U33" t="s">
        <v>290</v>
      </c>
      <c r="V33" t="s">
        <v>290</v>
      </c>
      <c r="W33" t="s">
        <v>290</v>
      </c>
    </row>
    <row r="34" spans="1:23" x14ac:dyDescent="0.25">
      <c r="A34" t="s">
        <v>48</v>
      </c>
      <c r="B34" t="str">
        <f t="shared" si="0"/>
        <v>Stresle Baş Etme Becerileri - Sosyal Duygusal Gelişim Alanı</v>
      </c>
      <c r="C34" t="s">
        <v>36</v>
      </c>
      <c r="F34" t="s">
        <v>1131</v>
      </c>
      <c r="G34">
        <f>COUNTIF(PlanAktarılacakSayfa!I:I,"*"&amp;'Hedef Listesi'!F34&amp;"*")</f>
        <v>0</v>
      </c>
      <c r="U34" t="s">
        <v>36</v>
      </c>
      <c r="V34" t="s">
        <v>299</v>
      </c>
      <c r="W34" t="s">
        <v>299</v>
      </c>
    </row>
    <row r="35" spans="1:23" x14ac:dyDescent="0.25">
      <c r="A35" t="s">
        <v>48</v>
      </c>
      <c r="B35" t="str">
        <f t="shared" si="0"/>
        <v>Şiddeti Önleme - Sosyal Duygusal Gelişim Alanı</v>
      </c>
      <c r="C35" s="1" t="s">
        <v>37</v>
      </c>
      <c r="F35" t="s">
        <v>1132</v>
      </c>
      <c r="G35">
        <f>COUNTIF(PlanAktarılacakSayfa!I:I,"*"&amp;'Hedef Listesi'!F35&amp;"*")</f>
        <v>0</v>
      </c>
      <c r="U35" t="s">
        <v>37</v>
      </c>
      <c r="V35" t="s">
        <v>300</v>
      </c>
      <c r="W35" t="s">
        <v>300</v>
      </c>
    </row>
    <row r="36" spans="1:23" x14ac:dyDescent="0.25">
      <c r="A36" t="s">
        <v>48</v>
      </c>
      <c r="B36" t="str">
        <f t="shared" si="0"/>
        <v>Toplumsal Uyum Becerileri - Sosyal Duygusal Gelişim Alanı</v>
      </c>
      <c r="C36" t="s">
        <v>332</v>
      </c>
      <c r="F36" t="s">
        <v>1133</v>
      </c>
      <c r="G36">
        <f>COUNTIF(PlanAktarılacakSayfa!I:I,"*"&amp;'Hedef Listesi'!F36&amp;"*")</f>
        <v>0</v>
      </c>
      <c r="M36" t="str">
        <f>IF(NOT(ISERROR(MONTH(VLOOKUP("*RİBA*Uygulama",PlanAktarılacakSayfa!C:E,3,FALSE))=5)),IF(IF(COUNTIF(PlanAktarılacakSayfa!C:E,"*RİBA*Veli*Uygulama*")&gt;=1,1,0)+IF(COUNTIF(PlanAktarılacakSayfa!C:E,"*RİBA*Öğrenci*Uygulama*")&gt;=1,1,IF(Düzeyler!W26="Evet",1,0))+IF(COUNTIF(PlanAktarılacakSayfa!C:E,"*RİBA*Öğretmen*Uygulama*")&gt;=1,1,0)&lt;3,"Mayıs Ayına RİBA Uygulaması Eklenmiştir Fakat Veli, Öğretmen yada Öğrenciden Yer Verilmeyen Bulunmaktadır","Mayıs Ayına RİBA Uygulaması Eklenmiştir"),"Mayıs Ayı RİBA Uygulaması Eksik")</f>
        <v>Mayıs Ayı RİBA Uygulaması Eksik</v>
      </c>
      <c r="U36" t="s">
        <v>332</v>
      </c>
      <c r="V36" t="s">
        <v>332</v>
      </c>
      <c r="W36" t="s">
        <v>332</v>
      </c>
    </row>
    <row r="37" spans="1:23" x14ac:dyDescent="0.25">
      <c r="A37" t="s">
        <v>48</v>
      </c>
      <c r="B37" t="str">
        <f t="shared" si="0"/>
        <v>Yaratıcılık - Sosyal Duygusal Gelişim Alanı</v>
      </c>
      <c r="C37" t="s">
        <v>333</v>
      </c>
      <c r="U37" t="s">
        <v>291</v>
      </c>
      <c r="V37" t="s">
        <v>333</v>
      </c>
      <c r="W37" t="s">
        <v>333</v>
      </c>
    </row>
    <row r="38" spans="1:23" x14ac:dyDescent="0.25">
      <c r="A38" t="s">
        <v>48</v>
      </c>
      <c r="B38" t="str">
        <f t="shared" si="0"/>
        <v>Yardım Arama - Sosyal Duygusal Gelişim Alanı</v>
      </c>
      <c r="C38" t="s">
        <v>347</v>
      </c>
      <c r="U38" t="s">
        <v>347</v>
      </c>
      <c r="V38" t="s">
        <v>347</v>
      </c>
      <c r="W38" t="s">
        <v>347</v>
      </c>
    </row>
    <row r="39" spans="1:23" x14ac:dyDescent="0.25">
      <c r="A39" t="s">
        <v>48</v>
      </c>
      <c r="B39" t="str">
        <f t="shared" si="0"/>
        <v>Yaşam Becerileri - Sosyal Duygusal Gelişim Alanı</v>
      </c>
      <c r="C39" t="s">
        <v>334</v>
      </c>
      <c r="U39" t="s">
        <v>334</v>
      </c>
      <c r="V39" t="s">
        <v>334</v>
      </c>
      <c r="W39" t="s">
        <v>334</v>
      </c>
    </row>
    <row r="40" spans="1:23" x14ac:dyDescent="0.25">
      <c r="A40" t="s">
        <v>48</v>
      </c>
      <c r="B40" t="str">
        <f>C40&amp;" - "&amp;A40</f>
        <v>Yetersizliği Kabul - Sosyal Duygusal Gelişim Alanı</v>
      </c>
      <c r="C40" t="s">
        <v>335</v>
      </c>
      <c r="U40" t="s">
        <v>335</v>
      </c>
      <c r="V40" t="s">
        <v>335</v>
      </c>
      <c r="W40" t="s">
        <v>335</v>
      </c>
    </row>
    <row r="41" spans="1:23" x14ac:dyDescent="0.25">
      <c r="A41" t="s">
        <v>48</v>
      </c>
      <c r="B41" t="str">
        <f>C41&amp;" - "&amp;A41</f>
        <v>Aile İçi İletişim-Çocuk Hakları ve Çocuk Kıymeti - Sosyal Duygusal Gelişim Alanı</v>
      </c>
      <c r="C41" t="s">
        <v>370</v>
      </c>
      <c r="U41" t="s">
        <v>370</v>
      </c>
      <c r="V41" t="s">
        <v>370</v>
      </c>
      <c r="W41" t="s">
        <v>370</v>
      </c>
    </row>
    <row r="42" spans="1:23" x14ac:dyDescent="0.25">
      <c r="A42" t="s">
        <v>49</v>
      </c>
      <c r="B42" t="str">
        <f t="shared" si="0"/>
        <v>Akademik Özyeterlik - Akademik Gelişim Alanı</v>
      </c>
      <c r="C42" t="s">
        <v>336</v>
      </c>
      <c r="U42" t="s">
        <v>336</v>
      </c>
      <c r="V42" t="s">
        <v>336</v>
      </c>
      <c r="W42" t="s">
        <v>336</v>
      </c>
    </row>
    <row r="43" spans="1:23" x14ac:dyDescent="0.25">
      <c r="A43" t="s">
        <v>49</v>
      </c>
      <c r="B43" t="str">
        <f t="shared" si="0"/>
        <v>Devamsızlığı Önleme - Akademik Gelişim Alanı</v>
      </c>
      <c r="C43" t="s">
        <v>274</v>
      </c>
      <c r="U43" t="s">
        <v>274</v>
      </c>
      <c r="V43" t="s">
        <v>274</v>
      </c>
      <c r="W43" t="s">
        <v>274</v>
      </c>
    </row>
    <row r="44" spans="1:23" x14ac:dyDescent="0.25">
      <c r="A44" t="s">
        <v>49</v>
      </c>
      <c r="B44" t="str">
        <f t="shared" si="0"/>
        <v>Dikkat Geliştirme Çalışmaları - Akademik Gelişim Alanı</v>
      </c>
      <c r="C44" t="s">
        <v>275</v>
      </c>
      <c r="U44" t="s">
        <v>275</v>
      </c>
      <c r="V44" t="s">
        <v>275</v>
      </c>
      <c r="W44" t="s">
        <v>275</v>
      </c>
    </row>
    <row r="45" spans="1:23" x14ac:dyDescent="0.25">
      <c r="A45" t="s">
        <v>49</v>
      </c>
      <c r="B45" t="str">
        <f t="shared" si="0"/>
        <v>E-KPSS - Akademik Gelişim Alanı</v>
      </c>
      <c r="C45" t="s">
        <v>337</v>
      </c>
      <c r="U45" t="s">
        <v>337</v>
      </c>
      <c r="V45" t="s">
        <v>337</v>
      </c>
      <c r="W45" t="s">
        <v>337</v>
      </c>
    </row>
    <row r="46" spans="1:23" x14ac:dyDescent="0.25">
      <c r="A46" t="s">
        <v>49</v>
      </c>
      <c r="B46" t="str">
        <f t="shared" si="0"/>
        <v>Hedef Belirleme - Akademik Gelişim Alanı</v>
      </c>
      <c r="C46" t="s">
        <v>38</v>
      </c>
      <c r="U46" t="s">
        <v>38</v>
      </c>
      <c r="V46" t="s">
        <v>38</v>
      </c>
      <c r="W46" t="s">
        <v>38</v>
      </c>
    </row>
    <row r="47" spans="1:23" x14ac:dyDescent="0.25">
      <c r="A47" t="s">
        <v>49</v>
      </c>
      <c r="B47" t="str">
        <f t="shared" si="0"/>
        <v>Motivasyon - Akademik Gelişim Alanı</v>
      </c>
      <c r="C47" t="s">
        <v>39</v>
      </c>
      <c r="U47" t="s">
        <v>39</v>
      </c>
      <c r="V47" t="s">
        <v>39</v>
      </c>
      <c r="W47" t="s">
        <v>39</v>
      </c>
    </row>
    <row r="48" spans="1:23" x14ac:dyDescent="0.25">
      <c r="A48" t="s">
        <v>49</v>
      </c>
      <c r="B48" t="str">
        <f t="shared" si="0"/>
        <v>Okul Başarısını Artırma - Akademik Gelişim Alanı</v>
      </c>
      <c r="C48" t="s">
        <v>40</v>
      </c>
      <c r="U48" t="s">
        <v>40</v>
      </c>
      <c r="V48" t="s">
        <v>295</v>
      </c>
      <c r="W48" t="s">
        <v>40</v>
      </c>
    </row>
    <row r="49" spans="1:23" x14ac:dyDescent="0.25">
      <c r="A49" t="s">
        <v>49</v>
      </c>
      <c r="B49" t="str">
        <f t="shared" si="0"/>
        <v>Okul Kuralları - Akademik Gelişim Alanı</v>
      </c>
      <c r="C49" t="s">
        <v>276</v>
      </c>
      <c r="U49" t="s">
        <v>276</v>
      </c>
      <c r="V49" t="s">
        <v>276</v>
      </c>
      <c r="W49" t="s">
        <v>276</v>
      </c>
    </row>
    <row r="50" spans="1:23" x14ac:dyDescent="0.25">
      <c r="A50" t="s">
        <v>49</v>
      </c>
      <c r="B50" t="str">
        <f t="shared" si="0"/>
        <v>Okul Olgunluğu - Akademik Gelişim Alanı</v>
      </c>
      <c r="C50" t="s">
        <v>296</v>
      </c>
      <c r="U50" t="s">
        <v>296</v>
      </c>
      <c r="V50" t="s">
        <v>296</v>
      </c>
      <c r="W50" t="s">
        <v>296</v>
      </c>
    </row>
    <row r="51" spans="1:23" x14ac:dyDescent="0.25">
      <c r="A51" t="s">
        <v>49</v>
      </c>
      <c r="B51" t="str">
        <f t="shared" si="0"/>
        <v>Okul ve Çevresindeki Sosyokültürel İmkanlar - Akademik Gelişim Alanı</v>
      </c>
      <c r="C51" t="s">
        <v>338</v>
      </c>
      <c r="U51" t="s">
        <v>278</v>
      </c>
      <c r="V51" t="s">
        <v>338</v>
      </c>
      <c r="W51" t="s">
        <v>338</v>
      </c>
    </row>
    <row r="52" spans="1:23" x14ac:dyDescent="0.25">
      <c r="A52" t="s">
        <v>49</v>
      </c>
      <c r="B52" t="str">
        <f t="shared" si="0"/>
        <v>Okula ve Çevreye Uyum - Akademik Gelişim Alanı</v>
      </c>
      <c r="C52" t="s">
        <v>41</v>
      </c>
      <c r="U52" t="s">
        <v>41</v>
      </c>
      <c r="V52" t="s">
        <v>297</v>
      </c>
      <c r="W52" t="s">
        <v>41</v>
      </c>
    </row>
    <row r="53" spans="1:23" x14ac:dyDescent="0.25">
      <c r="A53" t="s">
        <v>49</v>
      </c>
      <c r="B53" t="str">
        <f t="shared" si="0"/>
        <v>Okulda Seçilecek Alan/Dallar - Akademik Gelişim Alanı</v>
      </c>
      <c r="C53" t="s">
        <v>339</v>
      </c>
      <c r="U53" t="s">
        <v>277</v>
      </c>
      <c r="V53" t="s">
        <v>277</v>
      </c>
      <c r="W53" t="s">
        <v>339</v>
      </c>
    </row>
    <row r="54" spans="1:23" x14ac:dyDescent="0.25">
      <c r="A54" t="s">
        <v>49</v>
      </c>
      <c r="B54" t="str">
        <f t="shared" si="0"/>
        <v>Öz Disiplin Geliştirme - Akademik Gelişim Alanı</v>
      </c>
      <c r="C54" t="s">
        <v>42</v>
      </c>
      <c r="U54" t="s">
        <v>42</v>
      </c>
      <c r="V54" t="s">
        <v>42</v>
      </c>
      <c r="W54" t="s">
        <v>42</v>
      </c>
    </row>
    <row r="55" spans="1:23" x14ac:dyDescent="0.25">
      <c r="A55" t="s">
        <v>49</v>
      </c>
      <c r="B55" t="str">
        <f t="shared" si="0"/>
        <v>Öz Düzenlemeli Öğrenme - Akademik Gelişim Alanı</v>
      </c>
      <c r="C55" t="s">
        <v>340</v>
      </c>
      <c r="U55" t="s">
        <v>340</v>
      </c>
      <c r="V55" t="s">
        <v>340</v>
      </c>
      <c r="W55" t="s">
        <v>340</v>
      </c>
    </row>
    <row r="56" spans="1:23" x14ac:dyDescent="0.25">
      <c r="A56" t="s">
        <v>49</v>
      </c>
      <c r="B56" t="str">
        <f t="shared" si="0"/>
        <v>Rehberlik ve Psikolojik Danışma Servisinin Tanıtılması - Akademik Gelişim Alanı</v>
      </c>
      <c r="C56" t="s">
        <v>279</v>
      </c>
      <c r="U56" t="s">
        <v>279</v>
      </c>
      <c r="V56" t="s">
        <v>279</v>
      </c>
      <c r="W56" t="s">
        <v>279</v>
      </c>
    </row>
    <row r="57" spans="1:23" x14ac:dyDescent="0.25">
      <c r="A57" t="s">
        <v>49</v>
      </c>
      <c r="B57" t="str">
        <f t="shared" si="0"/>
        <v>Sınav Kaygısı - Akademik Gelişim Alanı</v>
      </c>
      <c r="C57" t="s">
        <v>43</v>
      </c>
      <c r="U57" t="s">
        <v>43</v>
      </c>
      <c r="V57" t="s">
        <v>43</v>
      </c>
      <c r="W57" t="s">
        <v>43</v>
      </c>
    </row>
    <row r="58" spans="1:23" x14ac:dyDescent="0.25">
      <c r="A58" t="s">
        <v>49</v>
      </c>
      <c r="B58" t="str">
        <f t="shared" si="0"/>
        <v>Üst Öğrenim Kurumlarının Tanıtılması - Akademik Gelişim Alanı</v>
      </c>
      <c r="C58" t="s">
        <v>44</v>
      </c>
      <c r="U58" t="s">
        <v>44</v>
      </c>
      <c r="V58" t="s">
        <v>301</v>
      </c>
      <c r="W58" t="s">
        <v>301</v>
      </c>
    </row>
    <row r="59" spans="1:23" x14ac:dyDescent="0.25">
      <c r="A59" t="s">
        <v>49</v>
      </c>
      <c r="B59" t="str">
        <f t="shared" si="0"/>
        <v>Üst Öğrenime Geçiş Sınavları - Akademik Gelişim Alanı</v>
      </c>
      <c r="C59" t="s">
        <v>45</v>
      </c>
      <c r="U59" t="s">
        <v>45</v>
      </c>
      <c r="V59" t="s">
        <v>45</v>
      </c>
      <c r="W59" t="s">
        <v>45</v>
      </c>
    </row>
    <row r="60" spans="1:23" x14ac:dyDescent="0.25">
      <c r="A60" t="s">
        <v>49</v>
      </c>
      <c r="B60" t="str">
        <f t="shared" si="0"/>
        <v>Verimli Ders Çalışma Teknikleri - Akademik Gelişim Alanı</v>
      </c>
      <c r="C60" t="s">
        <v>292</v>
      </c>
      <c r="U60" t="s">
        <v>292</v>
      </c>
      <c r="V60" t="s">
        <v>292</v>
      </c>
      <c r="W60" t="s">
        <v>292</v>
      </c>
    </row>
    <row r="61" spans="1:23" x14ac:dyDescent="0.25">
      <c r="A61" t="s">
        <v>49</v>
      </c>
      <c r="B61" t="str">
        <f t="shared" si="0"/>
        <v>Zaman Yönetimi - Akademik Gelişim Alanı</v>
      </c>
      <c r="C61" t="s">
        <v>46</v>
      </c>
      <c r="U61" t="s">
        <v>46</v>
      </c>
      <c r="V61" t="s">
        <v>46</v>
      </c>
      <c r="W61" t="s">
        <v>46</v>
      </c>
    </row>
    <row r="62" spans="1:23" x14ac:dyDescent="0.25">
      <c r="A62" t="s">
        <v>50</v>
      </c>
      <c r="B62" t="str">
        <f t="shared" si="0"/>
        <v>İş ve Meslek Etiği - Kariyer Gelişim Alanı</v>
      </c>
      <c r="C62" t="s">
        <v>281</v>
      </c>
      <c r="U62" t="s">
        <v>281</v>
      </c>
      <c r="V62" t="s">
        <v>281</v>
      </c>
      <c r="W62" t="s">
        <v>281</v>
      </c>
    </row>
    <row r="63" spans="1:23" x14ac:dyDescent="0.25">
      <c r="A63" t="s">
        <v>50</v>
      </c>
      <c r="B63" t="str">
        <f t="shared" si="0"/>
        <v>İş Yaşamına Yönelik Beceriler - Kariyer Gelişim Alanı</v>
      </c>
      <c r="C63" t="s">
        <v>47</v>
      </c>
      <c r="U63" t="s">
        <v>47</v>
      </c>
      <c r="V63" t="s">
        <v>47</v>
      </c>
      <c r="W63" t="s">
        <v>47</v>
      </c>
    </row>
    <row r="64" spans="1:23" x14ac:dyDescent="0.25">
      <c r="A64" t="s">
        <v>50</v>
      </c>
      <c r="B64" t="str">
        <f t="shared" si="0"/>
        <v>Kalfalık ve Ustalık Sistemleri Hakkında Bilgilendirme - Kariyer Gelişim Alanı</v>
      </c>
      <c r="C64" t="s">
        <v>341</v>
      </c>
      <c r="U64" t="s">
        <v>341</v>
      </c>
      <c r="V64" t="s">
        <v>341</v>
      </c>
      <c r="W64" t="s">
        <v>341</v>
      </c>
    </row>
    <row r="65" spans="1:23" x14ac:dyDescent="0.25">
      <c r="A65" t="s">
        <v>50</v>
      </c>
      <c r="B65" t="str">
        <f t="shared" si="0"/>
        <v>Kariyer Gelişimi - Kariyer Gelişim Alanı</v>
      </c>
      <c r="C65" s="1" t="s">
        <v>280</v>
      </c>
      <c r="U65" t="s">
        <v>280</v>
      </c>
      <c r="V65" t="s">
        <v>280</v>
      </c>
      <c r="W65" t="s">
        <v>280</v>
      </c>
    </row>
    <row r="66" spans="1:23" x14ac:dyDescent="0.25">
      <c r="A66" t="s">
        <v>50</v>
      </c>
      <c r="B66" t="str">
        <f t="shared" si="0"/>
        <v>Kariyer Planlama - Kariyer Gelişim Alanı</v>
      </c>
      <c r="C66" t="s">
        <v>282</v>
      </c>
      <c r="U66" t="s">
        <v>282</v>
      </c>
      <c r="V66" t="s">
        <v>282</v>
      </c>
      <c r="W66" t="s">
        <v>282</v>
      </c>
    </row>
    <row r="67" spans="1:23" x14ac:dyDescent="0.25">
      <c r="A67" t="s">
        <v>50</v>
      </c>
      <c r="B67" t="str">
        <f t="shared" si="0"/>
        <v>Meslekle İlgi, Değer, Yetenek ve Kişisel Özellik İlişkisi - Kariyer Gelişim Alanı</v>
      </c>
      <c r="C67" s="1" t="s">
        <v>342</v>
      </c>
      <c r="U67" t="s">
        <v>293</v>
      </c>
      <c r="V67" t="s">
        <v>348</v>
      </c>
      <c r="W67" t="s">
        <v>346</v>
      </c>
    </row>
    <row r="68" spans="1:23" x14ac:dyDescent="0.25">
      <c r="A68" t="s">
        <v>50</v>
      </c>
      <c r="B68" t="str">
        <f t="shared" ref="B68:B72" si="1">C68&amp;" - "&amp;A68</f>
        <v>Meslek Sahibi Olmanın Önemi - Kariyer Gelişim Alanı</v>
      </c>
      <c r="C68" t="s">
        <v>283</v>
      </c>
      <c r="U68" t="s">
        <v>283</v>
      </c>
      <c r="V68" t="s">
        <v>283</v>
      </c>
      <c r="W68" t="s">
        <v>283</v>
      </c>
    </row>
    <row r="69" spans="1:23" x14ac:dyDescent="0.25">
      <c r="A69" t="s">
        <v>50</v>
      </c>
      <c r="B69" t="str">
        <f t="shared" si="1"/>
        <v>Meslek Seçerken Dikkat Edilmesi Gereken Hususlar - Kariyer Gelişim Alanı</v>
      </c>
      <c r="C69" t="s">
        <v>284</v>
      </c>
      <c r="U69" t="s">
        <v>284</v>
      </c>
      <c r="V69" t="s">
        <v>284</v>
      </c>
      <c r="W69" t="s">
        <v>1077</v>
      </c>
    </row>
    <row r="70" spans="1:23" x14ac:dyDescent="0.25">
      <c r="A70" t="s">
        <v>50</v>
      </c>
      <c r="B70" t="str">
        <f t="shared" si="1"/>
        <v>Meslek Tanıtımı - Kariyer Gelişim Alanı</v>
      </c>
      <c r="C70" t="s">
        <v>285</v>
      </c>
      <c r="U70" t="s">
        <v>285</v>
      </c>
      <c r="V70" t="s">
        <v>285</v>
      </c>
      <c r="W70" t="s">
        <v>285</v>
      </c>
    </row>
    <row r="71" spans="1:23" x14ac:dyDescent="0.25">
      <c r="A71" t="s">
        <v>50</v>
      </c>
      <c r="B71" t="str">
        <f t="shared" si="1"/>
        <v>Mesleki Benlik - Kariyer Gelişim Alanı</v>
      </c>
      <c r="C71" t="s">
        <v>343</v>
      </c>
      <c r="U71" t="s">
        <v>343</v>
      </c>
      <c r="V71" t="s">
        <v>343</v>
      </c>
      <c r="W71" t="s">
        <v>343</v>
      </c>
    </row>
    <row r="72" spans="1:23" x14ac:dyDescent="0.25">
      <c r="A72" t="s">
        <v>50</v>
      </c>
      <c r="B72" t="str">
        <f t="shared" si="1"/>
        <v>Mesleki Hedef Belirleme - Kariyer Gelişim Alanı</v>
      </c>
      <c r="C72" t="s">
        <v>286</v>
      </c>
      <c r="U72" t="s">
        <v>286</v>
      </c>
      <c r="V72" t="s">
        <v>38</v>
      </c>
      <c r="W72" t="s">
        <v>38</v>
      </c>
    </row>
  </sheetData>
  <autoFilter ref="A1:W72"/>
  <phoneticPr fontId="8" type="noConversion"/>
  <pageMargins left="0.7" right="0.7" top="0.75" bottom="0.75" header="0.3" footer="0.3"/>
  <pageSetup paperSize="9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0"/>
  <dimension ref="A1:R1001"/>
  <sheetViews>
    <sheetView topLeftCell="D1" workbookViewId="0">
      <pane ySplit="2" topLeftCell="A3" activePane="bottomLeft" state="frozen"/>
      <selection pane="bottomLeft" activeCell="R5" sqref="R5"/>
    </sheetView>
  </sheetViews>
  <sheetFormatPr defaultRowHeight="15" x14ac:dyDescent="0.25"/>
  <cols>
    <col min="1" max="1" width="12" customWidth="1"/>
    <col min="2" max="2" width="48.5703125" customWidth="1"/>
    <col min="3" max="3" width="16.7109375" style="30" customWidth="1"/>
    <col min="4" max="4" width="16.85546875" customWidth="1"/>
    <col min="5" max="5" width="59.7109375" customWidth="1"/>
    <col min="6" max="6" width="16.7109375" style="33" customWidth="1"/>
    <col min="7" max="7" width="19.140625" customWidth="1"/>
  </cols>
  <sheetData>
    <row r="1" spans="1:18" x14ac:dyDescent="0.25">
      <c r="A1" s="62" t="s">
        <v>269</v>
      </c>
      <c r="B1" s="62"/>
      <c r="C1" s="62"/>
      <c r="D1" s="62" t="s">
        <v>273</v>
      </c>
      <c r="E1" s="62"/>
      <c r="F1" s="62"/>
      <c r="K1" s="61" t="s">
        <v>21</v>
      </c>
      <c r="L1" s="61"/>
      <c r="M1" s="61"/>
      <c r="N1" s="61"/>
      <c r="O1" s="61" t="s">
        <v>1082</v>
      </c>
      <c r="P1" s="61"/>
      <c r="Q1" s="61"/>
      <c r="R1" s="61"/>
    </row>
    <row r="2" spans="1:18" x14ac:dyDescent="0.25">
      <c r="A2" s="29" t="s">
        <v>270</v>
      </c>
      <c r="B2" s="29" t="s">
        <v>271</v>
      </c>
      <c r="C2" s="31" t="s">
        <v>272</v>
      </c>
      <c r="D2" s="29" t="s">
        <v>270</v>
      </c>
      <c r="E2" s="29" t="s">
        <v>271</v>
      </c>
      <c r="F2" s="32" t="s">
        <v>272</v>
      </c>
      <c r="K2" t="s">
        <v>1080</v>
      </c>
      <c r="L2" t="s">
        <v>96</v>
      </c>
      <c r="M2" t="s">
        <v>97</v>
      </c>
      <c r="N2" t="s">
        <v>1081</v>
      </c>
      <c r="O2" t="s">
        <v>1080</v>
      </c>
      <c r="P2" t="s">
        <v>96</v>
      </c>
      <c r="Q2" t="s">
        <v>97</v>
      </c>
      <c r="R2" t="s">
        <v>1081</v>
      </c>
    </row>
    <row r="3" spans="1:18" x14ac:dyDescent="0.25">
      <c r="A3" s="62" t="s">
        <v>302</v>
      </c>
      <c r="B3" s="62"/>
      <c r="C3" s="31">
        <f>SUM(C4:C65536)</f>
        <v>0</v>
      </c>
      <c r="D3" s="62" t="s">
        <v>302</v>
      </c>
      <c r="E3" s="62"/>
      <c r="F3" s="32">
        <f>SUM(F4:F65536)</f>
        <v>0</v>
      </c>
      <c r="G3" s="29" t="s">
        <v>303</v>
      </c>
      <c r="H3" s="29">
        <f>SUMIFS(F:F,E:E,"DMV*")</f>
        <v>0</v>
      </c>
      <c r="I3">
        <f>COUNTIF(PlanAktarılacakSayfa!C:C,"DMV*")</f>
        <v>0</v>
      </c>
      <c r="K3">
        <f>SUMIFS($F:$F,$E:$E,K$2&amp;"*Bağımlı*")</f>
        <v>0</v>
      </c>
      <c r="L3">
        <f t="shared" ref="L3:N3" si="0">SUMIFS($F:$F,$E:$E,L$2&amp;"*Bağımlı*")</f>
        <v>0</v>
      </c>
      <c r="M3">
        <f t="shared" si="0"/>
        <v>0</v>
      </c>
      <c r="N3">
        <f t="shared" si="0"/>
        <v>0</v>
      </c>
      <c r="O3">
        <f>SUMIFS($F:$F,$E:$E,O$2&amp;$O$1&amp;"*")</f>
        <v>0</v>
      </c>
      <c r="P3">
        <f t="shared" ref="P3:R3" si="1">SUMIFS($F:$F,$E:$E,P$2&amp;$O$1&amp;"*")</f>
        <v>0</v>
      </c>
      <c r="Q3">
        <f t="shared" si="1"/>
        <v>0</v>
      </c>
      <c r="R3">
        <f t="shared" si="1"/>
        <v>0</v>
      </c>
    </row>
    <row r="4" spans="1:18" x14ac:dyDescent="0.25">
      <c r="B4" t="s">
        <v>378</v>
      </c>
      <c r="C4" s="30">
        <f>COUNTIF(PlanAktarılacakSayfa!C:C,B4)</f>
        <v>0</v>
      </c>
      <c r="E4" t="s">
        <v>577</v>
      </c>
      <c r="F4" s="33">
        <f>COUNTIF(PlanAktarılacakSayfa!C:C,E4)</f>
        <v>0</v>
      </c>
      <c r="G4" s="29" t="s">
        <v>304</v>
      </c>
      <c r="H4" s="29">
        <f>SUMIFS(F:F,E:E,"DMÖ*")</f>
        <v>0</v>
      </c>
      <c r="I4">
        <f>COUNTIF(PlanAktarılacakSayfa!C:C,"DMÖ*")</f>
        <v>0</v>
      </c>
    </row>
    <row r="5" spans="1:18" x14ac:dyDescent="0.25">
      <c r="B5" t="s">
        <v>379</v>
      </c>
      <c r="C5" s="30">
        <f>COUNTIF(PlanAktarılacakSayfa!C:C,B5)</f>
        <v>0</v>
      </c>
      <c r="E5" t="s">
        <v>578</v>
      </c>
      <c r="F5" s="33">
        <f>COUNTIF(PlanAktarılacakSayfa!C:C,E5)</f>
        <v>0</v>
      </c>
      <c r="G5" s="29"/>
      <c r="H5" s="29"/>
    </row>
    <row r="6" spans="1:18" x14ac:dyDescent="0.25">
      <c r="B6" t="s">
        <v>380</v>
      </c>
      <c r="C6" s="30">
        <f>COUNTIF(PlanAktarılacakSayfa!C:C,B6)</f>
        <v>0</v>
      </c>
      <c r="E6" t="s">
        <v>579</v>
      </c>
      <c r="F6" s="33">
        <f>COUNTIF(PlanAktarılacakSayfa!C:C,E6)</f>
        <v>0</v>
      </c>
    </row>
    <row r="7" spans="1:18" x14ac:dyDescent="0.25">
      <c r="B7" t="s">
        <v>381</v>
      </c>
      <c r="C7" s="30">
        <f>COUNTIF(PlanAktarılacakSayfa!C:C,B7)</f>
        <v>0</v>
      </c>
      <c r="E7" t="s">
        <v>580</v>
      </c>
      <c r="F7" s="33">
        <f>COUNTIF(PlanAktarılacakSayfa!C:C,E7)</f>
        <v>0</v>
      </c>
    </row>
    <row r="8" spans="1:18" x14ac:dyDescent="0.25">
      <c r="B8" t="s">
        <v>382</v>
      </c>
      <c r="C8" s="30">
        <f>COUNTIF(PlanAktarılacakSayfa!C:C,B8)</f>
        <v>0</v>
      </c>
      <c r="E8" t="s">
        <v>581</v>
      </c>
      <c r="F8" s="33">
        <f>COUNTIF(PlanAktarılacakSayfa!C:C,E8)</f>
        <v>0</v>
      </c>
    </row>
    <row r="9" spans="1:18" x14ac:dyDescent="0.25">
      <c r="B9" t="s">
        <v>383</v>
      </c>
      <c r="C9" s="30">
        <f>COUNTIF(PlanAktarılacakSayfa!C:C,B9)</f>
        <v>0</v>
      </c>
      <c r="E9" t="s">
        <v>582</v>
      </c>
      <c r="F9" s="33">
        <f>COUNTIF(PlanAktarılacakSayfa!C:C,E9)</f>
        <v>0</v>
      </c>
    </row>
    <row r="10" spans="1:18" x14ac:dyDescent="0.25">
      <c r="B10" t="s">
        <v>384</v>
      </c>
      <c r="C10" s="30">
        <f>COUNTIF(PlanAktarılacakSayfa!C:C,B10)</f>
        <v>0</v>
      </c>
      <c r="E10" t="s">
        <v>583</v>
      </c>
      <c r="F10" s="33">
        <f>COUNTIF(PlanAktarılacakSayfa!C:C,E10)</f>
        <v>0</v>
      </c>
    </row>
    <row r="11" spans="1:18" x14ac:dyDescent="0.25">
      <c r="B11" t="s">
        <v>385</v>
      </c>
      <c r="C11" s="30">
        <f>COUNTIF(PlanAktarılacakSayfa!C:C,B11)</f>
        <v>0</v>
      </c>
      <c r="E11" t="s">
        <v>584</v>
      </c>
      <c r="F11" s="33">
        <f>COUNTIF(PlanAktarılacakSayfa!C:C,E11)</f>
        <v>0</v>
      </c>
    </row>
    <row r="12" spans="1:18" x14ac:dyDescent="0.25">
      <c r="B12" t="s">
        <v>386</v>
      </c>
      <c r="C12" s="30">
        <f>COUNTIF(PlanAktarılacakSayfa!C:C,B12)</f>
        <v>0</v>
      </c>
      <c r="E12" t="s">
        <v>585</v>
      </c>
      <c r="F12" s="33">
        <f>COUNTIF(PlanAktarılacakSayfa!C:C,E12)</f>
        <v>0</v>
      </c>
    </row>
    <row r="13" spans="1:18" x14ac:dyDescent="0.25">
      <c r="B13" t="s">
        <v>387</v>
      </c>
      <c r="C13" s="30">
        <f>COUNTIF(PlanAktarılacakSayfa!C:C,B13)</f>
        <v>0</v>
      </c>
      <c r="E13" t="s">
        <v>586</v>
      </c>
      <c r="F13" s="33">
        <f>COUNTIF(PlanAktarılacakSayfa!C:C,E13)</f>
        <v>0</v>
      </c>
    </row>
    <row r="14" spans="1:18" x14ac:dyDescent="0.25">
      <c r="B14" t="s">
        <v>388</v>
      </c>
      <c r="C14" s="30">
        <f>COUNTIF(PlanAktarılacakSayfa!C:C,B14)</f>
        <v>0</v>
      </c>
      <c r="E14" t="s">
        <v>378</v>
      </c>
      <c r="F14" s="33">
        <f>COUNTIF(PlanAktarılacakSayfa!C:C,E14)</f>
        <v>0</v>
      </c>
    </row>
    <row r="15" spans="1:18" x14ac:dyDescent="0.25">
      <c r="B15" t="s">
        <v>389</v>
      </c>
      <c r="C15" s="30">
        <f>COUNTIF(PlanAktarılacakSayfa!C:C,B15)</f>
        <v>0</v>
      </c>
      <c r="E15" t="s">
        <v>379</v>
      </c>
      <c r="F15" s="33">
        <f>COUNTIF(PlanAktarılacakSayfa!C:C,E15)</f>
        <v>0</v>
      </c>
    </row>
    <row r="16" spans="1:18" x14ac:dyDescent="0.25">
      <c r="B16" t="s">
        <v>390</v>
      </c>
      <c r="C16" s="30">
        <f>COUNTIF(PlanAktarılacakSayfa!C:C,B16)</f>
        <v>0</v>
      </c>
      <c r="E16" t="s">
        <v>380</v>
      </c>
      <c r="F16" s="33">
        <f>COUNTIF(PlanAktarılacakSayfa!C:C,E16)</f>
        <v>0</v>
      </c>
    </row>
    <row r="17" spans="2:6" x14ac:dyDescent="0.25">
      <c r="B17" t="s">
        <v>391</v>
      </c>
      <c r="C17" s="30">
        <f>COUNTIF(PlanAktarılacakSayfa!C:C,B17)</f>
        <v>0</v>
      </c>
      <c r="E17" t="s">
        <v>587</v>
      </c>
      <c r="F17" s="33">
        <f>COUNTIF(PlanAktarılacakSayfa!C:C,E17)</f>
        <v>0</v>
      </c>
    </row>
    <row r="18" spans="2:6" x14ac:dyDescent="0.25">
      <c r="B18" t="s">
        <v>392</v>
      </c>
      <c r="C18" s="30">
        <f>COUNTIF(PlanAktarılacakSayfa!C:C,B18)</f>
        <v>0</v>
      </c>
      <c r="E18" t="s">
        <v>588</v>
      </c>
      <c r="F18" s="33">
        <f>COUNTIF(PlanAktarılacakSayfa!C:C,E18)</f>
        <v>0</v>
      </c>
    </row>
    <row r="19" spans="2:6" x14ac:dyDescent="0.25">
      <c r="B19" t="s">
        <v>393</v>
      </c>
      <c r="C19" s="30">
        <f>COUNTIF(PlanAktarılacakSayfa!C:C,B19)</f>
        <v>0</v>
      </c>
      <c r="D19" s="1"/>
      <c r="E19" s="1" t="s">
        <v>589</v>
      </c>
      <c r="F19" s="33">
        <f>COUNTIF(PlanAktarılacakSayfa!C:C,E19)</f>
        <v>0</v>
      </c>
    </row>
    <row r="20" spans="2:6" x14ac:dyDescent="0.25">
      <c r="B20" t="s">
        <v>394</v>
      </c>
      <c r="C20" s="30">
        <f>COUNTIF(PlanAktarılacakSayfa!C:C,B20)</f>
        <v>0</v>
      </c>
      <c r="D20" s="1"/>
      <c r="E20" s="1" t="s">
        <v>590</v>
      </c>
      <c r="F20" s="33">
        <f>COUNTIF(PlanAktarılacakSayfa!C:C,E20)</f>
        <v>0</v>
      </c>
    </row>
    <row r="21" spans="2:6" x14ac:dyDescent="0.25">
      <c r="B21" t="s">
        <v>395</v>
      </c>
      <c r="C21" s="30">
        <f>COUNTIF(PlanAktarılacakSayfa!C:C,B21)</f>
        <v>0</v>
      </c>
      <c r="E21" t="s">
        <v>591</v>
      </c>
      <c r="F21" s="33">
        <f>COUNTIF(PlanAktarılacakSayfa!C:C,E21)</f>
        <v>0</v>
      </c>
    </row>
    <row r="22" spans="2:6" x14ac:dyDescent="0.25">
      <c r="B22" t="s">
        <v>396</v>
      </c>
      <c r="C22" s="30">
        <f>COUNTIF(PlanAktarılacakSayfa!C:C,B22)</f>
        <v>0</v>
      </c>
      <c r="E22" t="s">
        <v>592</v>
      </c>
      <c r="F22" s="33">
        <f>COUNTIF(PlanAktarılacakSayfa!C:C,E22)</f>
        <v>0</v>
      </c>
    </row>
    <row r="23" spans="2:6" x14ac:dyDescent="0.25">
      <c r="B23" t="s">
        <v>397</v>
      </c>
      <c r="C23" s="30">
        <f>COUNTIF(PlanAktarılacakSayfa!C:C,B23)</f>
        <v>0</v>
      </c>
      <c r="E23" t="s">
        <v>381</v>
      </c>
      <c r="F23" s="33">
        <f>COUNTIF(PlanAktarılacakSayfa!C:C,E23)</f>
        <v>0</v>
      </c>
    </row>
    <row r="24" spans="2:6" x14ac:dyDescent="0.25">
      <c r="B24" t="s">
        <v>398</v>
      </c>
      <c r="C24" s="30">
        <f>COUNTIF(PlanAktarılacakSayfa!C:C,B24)</f>
        <v>0</v>
      </c>
      <c r="E24" t="s">
        <v>382</v>
      </c>
      <c r="F24" s="33">
        <f>COUNTIF(PlanAktarılacakSayfa!C:C,E24)</f>
        <v>0</v>
      </c>
    </row>
    <row r="25" spans="2:6" x14ac:dyDescent="0.25">
      <c r="B25" t="s">
        <v>399</v>
      </c>
      <c r="C25" s="30">
        <f>COUNTIF(PlanAktarılacakSayfa!C:C,B25)</f>
        <v>0</v>
      </c>
      <c r="E25" t="s">
        <v>383</v>
      </c>
      <c r="F25" s="33">
        <f>COUNTIF(PlanAktarılacakSayfa!C:C,E25)</f>
        <v>0</v>
      </c>
    </row>
    <row r="26" spans="2:6" x14ac:dyDescent="0.25">
      <c r="B26" t="s">
        <v>400</v>
      </c>
      <c r="C26" s="30">
        <f>COUNTIF(PlanAktarılacakSayfa!C:C,B26)</f>
        <v>0</v>
      </c>
      <c r="E26" t="s">
        <v>387</v>
      </c>
      <c r="F26" s="33">
        <f>COUNTIF(PlanAktarılacakSayfa!C:C,E26)</f>
        <v>0</v>
      </c>
    </row>
    <row r="27" spans="2:6" x14ac:dyDescent="0.25">
      <c r="B27" t="s">
        <v>401</v>
      </c>
      <c r="C27" s="30">
        <f>COUNTIF(PlanAktarılacakSayfa!C:C,B27)</f>
        <v>0</v>
      </c>
      <c r="E27" t="s">
        <v>388</v>
      </c>
      <c r="F27" s="33">
        <f>COUNTIF(PlanAktarılacakSayfa!C:C,E27)</f>
        <v>0</v>
      </c>
    </row>
    <row r="28" spans="2:6" x14ac:dyDescent="0.25">
      <c r="B28" t="s">
        <v>402</v>
      </c>
      <c r="C28" s="30">
        <f>COUNTIF(PlanAktarılacakSayfa!C:C,B28)</f>
        <v>0</v>
      </c>
      <c r="E28" t="s">
        <v>389</v>
      </c>
      <c r="F28" s="33">
        <f>COUNTIF(PlanAktarılacakSayfa!C:C,E28)</f>
        <v>0</v>
      </c>
    </row>
    <row r="29" spans="2:6" x14ac:dyDescent="0.25">
      <c r="B29" t="s">
        <v>403</v>
      </c>
      <c r="C29" s="30">
        <f>COUNTIF(PlanAktarılacakSayfa!C:C,B29)</f>
        <v>0</v>
      </c>
      <c r="E29" t="s">
        <v>593</v>
      </c>
      <c r="F29" s="33">
        <f>COUNTIF(PlanAktarılacakSayfa!C:C,E29)</f>
        <v>0</v>
      </c>
    </row>
    <row r="30" spans="2:6" x14ac:dyDescent="0.25">
      <c r="B30" t="s">
        <v>404</v>
      </c>
      <c r="C30" s="30">
        <f>COUNTIF(PlanAktarılacakSayfa!C:C,B30)</f>
        <v>0</v>
      </c>
      <c r="E30" t="s">
        <v>594</v>
      </c>
      <c r="F30" s="33">
        <f>COUNTIF(PlanAktarılacakSayfa!C:C,E30)</f>
        <v>0</v>
      </c>
    </row>
    <row r="31" spans="2:6" x14ac:dyDescent="0.25">
      <c r="B31" t="s">
        <v>405</v>
      </c>
      <c r="C31" s="30">
        <f>COUNTIF(PlanAktarılacakSayfa!C:C,B31)</f>
        <v>0</v>
      </c>
      <c r="E31" t="s">
        <v>595</v>
      </c>
      <c r="F31" s="33">
        <f>COUNTIF(PlanAktarılacakSayfa!C:C,E31)</f>
        <v>0</v>
      </c>
    </row>
    <row r="32" spans="2:6" x14ac:dyDescent="0.25">
      <c r="B32" t="s">
        <v>406</v>
      </c>
      <c r="C32" s="30">
        <f>COUNTIF(PlanAktarılacakSayfa!C:C,B32)</f>
        <v>0</v>
      </c>
      <c r="E32" t="s">
        <v>596</v>
      </c>
      <c r="F32" s="33">
        <f>COUNTIF(PlanAktarılacakSayfa!C:C,E32)</f>
        <v>0</v>
      </c>
    </row>
    <row r="33" spans="2:6" x14ac:dyDescent="0.25">
      <c r="B33" t="s">
        <v>407</v>
      </c>
      <c r="C33" s="30">
        <f>COUNTIF(PlanAktarılacakSayfa!C:C,B33)</f>
        <v>0</v>
      </c>
      <c r="E33" t="s">
        <v>597</v>
      </c>
      <c r="F33" s="33">
        <f>COUNTIF(PlanAktarılacakSayfa!C:C,E33)</f>
        <v>0</v>
      </c>
    </row>
    <row r="34" spans="2:6" x14ac:dyDescent="0.25">
      <c r="B34" t="s">
        <v>408</v>
      </c>
      <c r="C34" s="30">
        <f>COUNTIF(PlanAktarılacakSayfa!C:C,B34)</f>
        <v>0</v>
      </c>
      <c r="E34" t="s">
        <v>598</v>
      </c>
      <c r="F34" s="33">
        <f>COUNTIF(PlanAktarılacakSayfa!C:C,E34)</f>
        <v>0</v>
      </c>
    </row>
    <row r="35" spans="2:6" x14ac:dyDescent="0.25">
      <c r="B35" t="s">
        <v>409</v>
      </c>
      <c r="C35" s="30">
        <f>COUNTIF(PlanAktarılacakSayfa!C:C,B35)</f>
        <v>0</v>
      </c>
      <c r="E35" t="s">
        <v>599</v>
      </c>
      <c r="F35" s="33">
        <f>COUNTIF(PlanAktarılacakSayfa!C:C,E35)</f>
        <v>0</v>
      </c>
    </row>
    <row r="36" spans="2:6" x14ac:dyDescent="0.25">
      <c r="B36" t="s">
        <v>410</v>
      </c>
      <c r="C36" s="30">
        <f>COUNTIF(PlanAktarılacakSayfa!C:C,B36)</f>
        <v>0</v>
      </c>
      <c r="E36" t="s">
        <v>600</v>
      </c>
      <c r="F36" s="33">
        <f>COUNTIF(PlanAktarılacakSayfa!C:C,E36)</f>
        <v>0</v>
      </c>
    </row>
    <row r="37" spans="2:6" x14ac:dyDescent="0.25">
      <c r="B37" t="s">
        <v>411</v>
      </c>
      <c r="C37" s="30">
        <f>COUNTIF(PlanAktarılacakSayfa!C:C,B37)</f>
        <v>0</v>
      </c>
      <c r="E37" t="s">
        <v>601</v>
      </c>
      <c r="F37" s="33">
        <f>COUNTIF(PlanAktarılacakSayfa!C:C,E37)</f>
        <v>0</v>
      </c>
    </row>
    <row r="38" spans="2:6" x14ac:dyDescent="0.25">
      <c r="B38" t="s">
        <v>412</v>
      </c>
      <c r="C38" s="30">
        <f>COUNTIF(PlanAktarılacakSayfa!C:C,B38)</f>
        <v>0</v>
      </c>
      <c r="E38" t="s">
        <v>602</v>
      </c>
      <c r="F38" s="33">
        <f>COUNTIF(PlanAktarılacakSayfa!C:C,E38)</f>
        <v>0</v>
      </c>
    </row>
    <row r="39" spans="2:6" x14ac:dyDescent="0.25">
      <c r="B39" t="s">
        <v>413</v>
      </c>
      <c r="C39" s="30">
        <f>COUNTIF(PlanAktarılacakSayfa!C:C,B39)</f>
        <v>0</v>
      </c>
      <c r="D39" s="1"/>
      <c r="E39" s="1" t="s">
        <v>603</v>
      </c>
      <c r="F39" s="33">
        <f>COUNTIF(PlanAktarılacakSayfa!C:C,E39)</f>
        <v>0</v>
      </c>
    </row>
    <row r="40" spans="2:6" x14ac:dyDescent="0.25">
      <c r="B40" t="s">
        <v>414</v>
      </c>
      <c r="C40" s="30">
        <f>COUNTIF(PlanAktarılacakSayfa!C:C,B40)</f>
        <v>0</v>
      </c>
      <c r="D40" s="1"/>
      <c r="E40" s="1" t="s">
        <v>604</v>
      </c>
      <c r="F40" s="33">
        <f>COUNTIF(PlanAktarılacakSayfa!C:C,E40)</f>
        <v>0</v>
      </c>
    </row>
    <row r="41" spans="2:6" x14ac:dyDescent="0.25">
      <c r="B41" t="s">
        <v>415</v>
      </c>
      <c r="C41" s="30">
        <f>COUNTIF(PlanAktarılacakSayfa!C:C,B41)</f>
        <v>0</v>
      </c>
      <c r="D41" s="1"/>
      <c r="E41" s="1" t="s">
        <v>390</v>
      </c>
      <c r="F41" s="33">
        <f>COUNTIF(PlanAktarılacakSayfa!C:C,E41)</f>
        <v>0</v>
      </c>
    </row>
    <row r="42" spans="2:6" x14ac:dyDescent="0.25">
      <c r="B42" t="s">
        <v>416</v>
      </c>
      <c r="C42" s="30">
        <f>COUNTIF(PlanAktarılacakSayfa!C:C,B42)</f>
        <v>0</v>
      </c>
      <c r="D42" s="1"/>
      <c r="E42" s="1" t="s">
        <v>391</v>
      </c>
      <c r="F42" s="33">
        <f>COUNTIF(PlanAktarılacakSayfa!C:C,E42)</f>
        <v>0</v>
      </c>
    </row>
    <row r="43" spans="2:6" x14ac:dyDescent="0.25">
      <c r="B43" t="s">
        <v>417</v>
      </c>
      <c r="C43" s="30">
        <f>COUNTIF(PlanAktarılacakSayfa!C:C,B43)</f>
        <v>0</v>
      </c>
      <c r="D43" s="1"/>
      <c r="E43" s="1" t="s">
        <v>392</v>
      </c>
      <c r="F43" s="33">
        <f>COUNTIF(PlanAktarılacakSayfa!C:C,E43)</f>
        <v>0</v>
      </c>
    </row>
    <row r="44" spans="2:6" x14ac:dyDescent="0.25">
      <c r="B44" t="s">
        <v>418</v>
      </c>
      <c r="C44" s="30">
        <f>COUNTIF(PlanAktarılacakSayfa!C:C,B44)</f>
        <v>0</v>
      </c>
      <c r="D44" s="1"/>
      <c r="E44" s="1" t="s">
        <v>605</v>
      </c>
      <c r="F44" s="33">
        <f>COUNTIF(PlanAktarılacakSayfa!C:C,E44)</f>
        <v>0</v>
      </c>
    </row>
    <row r="45" spans="2:6" x14ac:dyDescent="0.25">
      <c r="B45" t="s">
        <v>419</v>
      </c>
      <c r="C45" s="30">
        <f>COUNTIF(PlanAktarılacakSayfa!C:C,B45)</f>
        <v>0</v>
      </c>
      <c r="D45" s="1"/>
      <c r="E45" s="1" t="s">
        <v>606</v>
      </c>
      <c r="F45" s="33">
        <f>COUNTIF(PlanAktarılacakSayfa!C:C,E45)</f>
        <v>0</v>
      </c>
    </row>
    <row r="46" spans="2:6" x14ac:dyDescent="0.25">
      <c r="B46" t="s">
        <v>420</v>
      </c>
      <c r="C46" s="30">
        <f>COUNTIF(PlanAktarılacakSayfa!C:C,B46)</f>
        <v>0</v>
      </c>
      <c r="D46" s="1"/>
      <c r="E46" s="1" t="s">
        <v>607</v>
      </c>
      <c r="F46" s="33">
        <f>COUNTIF(PlanAktarılacakSayfa!C:C,E46)</f>
        <v>0</v>
      </c>
    </row>
    <row r="47" spans="2:6" x14ac:dyDescent="0.25">
      <c r="B47" t="s">
        <v>421</v>
      </c>
      <c r="C47" s="30">
        <f>COUNTIF(PlanAktarılacakSayfa!C:C,B47)</f>
        <v>0</v>
      </c>
      <c r="D47" s="1"/>
      <c r="E47" s="1" t="s">
        <v>396</v>
      </c>
      <c r="F47" s="33">
        <f>COUNTIF(PlanAktarılacakSayfa!C:C,E47)</f>
        <v>0</v>
      </c>
    </row>
    <row r="48" spans="2:6" x14ac:dyDescent="0.25">
      <c r="B48" t="s">
        <v>422</v>
      </c>
      <c r="C48" s="30">
        <f>COUNTIF(PlanAktarılacakSayfa!C:C,B48)</f>
        <v>0</v>
      </c>
      <c r="D48" s="1"/>
      <c r="E48" s="1" t="s">
        <v>397</v>
      </c>
      <c r="F48" s="33">
        <f>COUNTIF(PlanAktarılacakSayfa!C:C,E48)</f>
        <v>0</v>
      </c>
    </row>
    <row r="49" spans="2:6" x14ac:dyDescent="0.25">
      <c r="B49" t="s">
        <v>423</v>
      </c>
      <c r="C49" s="30">
        <f>COUNTIF(PlanAktarılacakSayfa!C:C,B49)</f>
        <v>0</v>
      </c>
      <c r="D49" s="1"/>
      <c r="E49" s="1" t="s">
        <v>398</v>
      </c>
      <c r="F49" s="33">
        <f>COUNTIF(PlanAktarılacakSayfa!C:C,E49)</f>
        <v>0</v>
      </c>
    </row>
    <row r="50" spans="2:6" x14ac:dyDescent="0.25">
      <c r="B50" t="s">
        <v>424</v>
      </c>
      <c r="C50" s="30">
        <f>COUNTIF(PlanAktarılacakSayfa!C:C,B50)</f>
        <v>0</v>
      </c>
      <c r="D50" s="1"/>
      <c r="E50" t="s">
        <v>399</v>
      </c>
      <c r="F50" s="33">
        <f>COUNTIF(PlanAktarılacakSayfa!C:C,E50)</f>
        <v>0</v>
      </c>
    </row>
    <row r="51" spans="2:6" x14ac:dyDescent="0.25">
      <c r="B51" t="s">
        <v>425</v>
      </c>
      <c r="C51" s="30">
        <f>COUNTIF(PlanAktarılacakSayfa!C:C,B51)</f>
        <v>0</v>
      </c>
      <c r="E51" t="s">
        <v>400</v>
      </c>
      <c r="F51" s="33">
        <f>COUNTIF(PlanAktarılacakSayfa!C:C,E51)</f>
        <v>0</v>
      </c>
    </row>
    <row r="52" spans="2:6" x14ac:dyDescent="0.25">
      <c r="B52" t="s">
        <v>426</v>
      </c>
      <c r="C52" s="30">
        <f>COUNTIF(PlanAktarılacakSayfa!C:C,B52)</f>
        <v>0</v>
      </c>
      <c r="E52" t="s">
        <v>401</v>
      </c>
      <c r="F52" s="33">
        <f>COUNTIF(PlanAktarılacakSayfa!C:C,E52)</f>
        <v>0</v>
      </c>
    </row>
    <row r="53" spans="2:6" x14ac:dyDescent="0.25">
      <c r="B53" t="s">
        <v>427</v>
      </c>
      <c r="C53" s="30">
        <f>COUNTIF(PlanAktarılacakSayfa!C:C,B53)</f>
        <v>0</v>
      </c>
      <c r="E53" t="s">
        <v>402</v>
      </c>
      <c r="F53" s="33">
        <f>COUNTIF(PlanAktarılacakSayfa!C:C,E53)</f>
        <v>0</v>
      </c>
    </row>
    <row r="54" spans="2:6" x14ac:dyDescent="0.25">
      <c r="B54" t="s">
        <v>428</v>
      </c>
      <c r="C54" s="30">
        <f>COUNTIF(PlanAktarılacakSayfa!C:C,B54)</f>
        <v>0</v>
      </c>
      <c r="E54" t="s">
        <v>403</v>
      </c>
      <c r="F54" s="33">
        <f>COUNTIF(PlanAktarılacakSayfa!C:C,E54)</f>
        <v>0</v>
      </c>
    </row>
    <row r="55" spans="2:6" x14ac:dyDescent="0.25">
      <c r="B55" t="s">
        <v>429</v>
      </c>
      <c r="C55" s="30">
        <f>COUNTIF(PlanAktarılacakSayfa!C:C,B55)</f>
        <v>0</v>
      </c>
      <c r="E55" t="s">
        <v>404</v>
      </c>
      <c r="F55" s="33">
        <f>COUNTIF(PlanAktarılacakSayfa!C:C,E55)</f>
        <v>0</v>
      </c>
    </row>
    <row r="56" spans="2:6" x14ac:dyDescent="0.25">
      <c r="B56" t="s">
        <v>430</v>
      </c>
      <c r="C56" s="30">
        <f>COUNTIF(PlanAktarılacakSayfa!C:C,B56)</f>
        <v>0</v>
      </c>
      <c r="E56" t="s">
        <v>405</v>
      </c>
      <c r="F56" s="33">
        <f>COUNTIF(PlanAktarılacakSayfa!C:C,E56)</f>
        <v>0</v>
      </c>
    </row>
    <row r="57" spans="2:6" x14ac:dyDescent="0.25">
      <c r="B57" t="s">
        <v>431</v>
      </c>
      <c r="C57" s="30">
        <f>COUNTIF(PlanAktarılacakSayfa!C:C,B57)</f>
        <v>0</v>
      </c>
      <c r="E57" t="s">
        <v>406</v>
      </c>
      <c r="F57" s="33">
        <f>COUNTIF(PlanAktarılacakSayfa!C:C,E57)</f>
        <v>0</v>
      </c>
    </row>
    <row r="58" spans="2:6" x14ac:dyDescent="0.25">
      <c r="B58" t="s">
        <v>432</v>
      </c>
      <c r="C58" s="30">
        <f>COUNTIF(PlanAktarılacakSayfa!C:C,B58)</f>
        <v>0</v>
      </c>
      <c r="E58" t="s">
        <v>407</v>
      </c>
      <c r="F58" s="33">
        <f>COUNTIF(PlanAktarılacakSayfa!C:C,E58)</f>
        <v>0</v>
      </c>
    </row>
    <row r="59" spans="2:6" x14ac:dyDescent="0.25">
      <c r="B59" t="s">
        <v>433</v>
      </c>
      <c r="C59" s="30">
        <f>COUNTIF(PlanAktarılacakSayfa!C:C,B59)</f>
        <v>0</v>
      </c>
      <c r="E59" t="s">
        <v>408</v>
      </c>
      <c r="F59" s="33">
        <f>COUNTIF(PlanAktarılacakSayfa!C:C,E59)</f>
        <v>0</v>
      </c>
    </row>
    <row r="60" spans="2:6" x14ac:dyDescent="0.25">
      <c r="B60" t="s">
        <v>434</v>
      </c>
      <c r="C60" s="30">
        <f>COUNTIF(PlanAktarılacakSayfa!C:C,B60)</f>
        <v>0</v>
      </c>
      <c r="E60" t="s">
        <v>409</v>
      </c>
      <c r="F60" s="33">
        <f>COUNTIF(PlanAktarılacakSayfa!C:C,E60)</f>
        <v>0</v>
      </c>
    </row>
    <row r="61" spans="2:6" x14ac:dyDescent="0.25">
      <c r="B61" t="s">
        <v>435</v>
      </c>
      <c r="C61" s="30">
        <f>COUNTIF(PlanAktarılacakSayfa!C:C,B61)</f>
        <v>0</v>
      </c>
      <c r="E61" t="s">
        <v>410</v>
      </c>
      <c r="F61" s="33">
        <f>COUNTIF(PlanAktarılacakSayfa!C:C,E61)</f>
        <v>0</v>
      </c>
    </row>
    <row r="62" spans="2:6" x14ac:dyDescent="0.25">
      <c r="B62" t="s">
        <v>436</v>
      </c>
      <c r="C62" s="30">
        <f>COUNTIF(PlanAktarılacakSayfa!C:C,B62)</f>
        <v>0</v>
      </c>
      <c r="E62" t="s">
        <v>411</v>
      </c>
      <c r="F62" s="33">
        <f>COUNTIF(PlanAktarılacakSayfa!C:C,E62)</f>
        <v>0</v>
      </c>
    </row>
    <row r="63" spans="2:6" x14ac:dyDescent="0.25">
      <c r="B63" t="s">
        <v>437</v>
      </c>
      <c r="C63" s="30">
        <f>COUNTIF(PlanAktarılacakSayfa!C:C,B63)</f>
        <v>0</v>
      </c>
      <c r="E63" t="s">
        <v>412</v>
      </c>
      <c r="F63" s="33">
        <f>COUNTIF(PlanAktarılacakSayfa!C:C,E63)</f>
        <v>0</v>
      </c>
    </row>
    <row r="64" spans="2:6" x14ac:dyDescent="0.25">
      <c r="B64" t="s">
        <v>438</v>
      </c>
      <c r="C64" s="30">
        <f>COUNTIF(PlanAktarılacakSayfa!C:C,B64)</f>
        <v>0</v>
      </c>
      <c r="E64" t="s">
        <v>413</v>
      </c>
      <c r="F64" s="33">
        <f>COUNTIF(PlanAktarılacakSayfa!C:C,E64)</f>
        <v>0</v>
      </c>
    </row>
    <row r="65" spans="2:6" x14ac:dyDescent="0.25">
      <c r="B65" t="s">
        <v>439</v>
      </c>
      <c r="C65" s="30">
        <f>COUNTIF(PlanAktarılacakSayfa!C:C,B65)</f>
        <v>0</v>
      </c>
      <c r="E65" t="s">
        <v>414</v>
      </c>
      <c r="F65" s="33">
        <f>COUNTIF(PlanAktarılacakSayfa!C:C,E65)</f>
        <v>0</v>
      </c>
    </row>
    <row r="66" spans="2:6" x14ac:dyDescent="0.25">
      <c r="B66" t="s">
        <v>440</v>
      </c>
      <c r="C66" s="30">
        <f>COUNTIF(PlanAktarılacakSayfa!C:C,B66)</f>
        <v>0</v>
      </c>
      <c r="E66" t="s">
        <v>415</v>
      </c>
      <c r="F66" s="33">
        <f>COUNTIF(PlanAktarılacakSayfa!C:C,E66)</f>
        <v>0</v>
      </c>
    </row>
    <row r="67" spans="2:6" x14ac:dyDescent="0.25">
      <c r="B67" t="s">
        <v>441</v>
      </c>
      <c r="C67" s="30">
        <f>COUNTIF(PlanAktarılacakSayfa!C:C,B67)</f>
        <v>0</v>
      </c>
      <c r="E67" t="s">
        <v>416</v>
      </c>
      <c r="F67" s="33">
        <f>COUNTIF(PlanAktarılacakSayfa!C:C,E67)</f>
        <v>0</v>
      </c>
    </row>
    <row r="68" spans="2:6" x14ac:dyDescent="0.25">
      <c r="B68" t="s">
        <v>442</v>
      </c>
      <c r="C68" s="30">
        <f>COUNTIF(PlanAktarılacakSayfa!C:C,B68)</f>
        <v>0</v>
      </c>
      <c r="E68" t="s">
        <v>608</v>
      </c>
      <c r="F68" s="33">
        <f>COUNTIF(PlanAktarılacakSayfa!C:C,E68)</f>
        <v>0</v>
      </c>
    </row>
    <row r="69" spans="2:6" x14ac:dyDescent="0.25">
      <c r="B69" t="s">
        <v>443</v>
      </c>
      <c r="C69" s="30">
        <f>COUNTIF(PlanAktarılacakSayfa!C:C,B69)</f>
        <v>0</v>
      </c>
      <c r="E69" t="s">
        <v>609</v>
      </c>
      <c r="F69" s="33">
        <f>COUNTIF(PlanAktarılacakSayfa!C:C,E69)</f>
        <v>0</v>
      </c>
    </row>
    <row r="70" spans="2:6" x14ac:dyDescent="0.25">
      <c r="B70" t="s">
        <v>444</v>
      </c>
      <c r="C70" s="30">
        <f>COUNTIF(PlanAktarılacakSayfa!C:C,B70)</f>
        <v>0</v>
      </c>
      <c r="E70" t="s">
        <v>610</v>
      </c>
      <c r="F70" s="33">
        <f>COUNTIF(PlanAktarılacakSayfa!C:C,E70)</f>
        <v>0</v>
      </c>
    </row>
    <row r="71" spans="2:6" x14ac:dyDescent="0.25">
      <c r="B71" t="s">
        <v>445</v>
      </c>
      <c r="C71" s="30">
        <f>COUNTIF(PlanAktarılacakSayfa!C:C,B71)</f>
        <v>0</v>
      </c>
      <c r="E71" t="s">
        <v>417</v>
      </c>
      <c r="F71" s="33">
        <f>COUNTIF(PlanAktarılacakSayfa!C:C,E71)</f>
        <v>0</v>
      </c>
    </row>
    <row r="72" spans="2:6" x14ac:dyDescent="0.25">
      <c r="B72" t="s">
        <v>446</v>
      </c>
      <c r="C72" s="30">
        <f>COUNTIF(PlanAktarılacakSayfa!C:C,B72)</f>
        <v>0</v>
      </c>
      <c r="E72" t="s">
        <v>418</v>
      </c>
      <c r="F72" s="33">
        <f>COUNTIF(PlanAktarılacakSayfa!C:C,E72)</f>
        <v>0</v>
      </c>
    </row>
    <row r="73" spans="2:6" x14ac:dyDescent="0.25">
      <c r="B73" t="s">
        <v>447</v>
      </c>
      <c r="C73" s="30">
        <f>COUNTIF(PlanAktarılacakSayfa!C:C,B73)</f>
        <v>0</v>
      </c>
      <c r="E73" t="s">
        <v>419</v>
      </c>
      <c r="F73" s="33">
        <f>COUNTIF(PlanAktarılacakSayfa!C:C,E73)</f>
        <v>0</v>
      </c>
    </row>
    <row r="74" spans="2:6" x14ac:dyDescent="0.25">
      <c r="B74" t="s">
        <v>448</v>
      </c>
      <c r="C74" s="30">
        <f>COUNTIF(PlanAktarılacakSayfa!C:C,B74)</f>
        <v>0</v>
      </c>
      <c r="E74" t="s">
        <v>611</v>
      </c>
      <c r="F74" s="33">
        <f>COUNTIF(PlanAktarılacakSayfa!C:C,E74)</f>
        <v>0</v>
      </c>
    </row>
    <row r="75" spans="2:6" x14ac:dyDescent="0.25">
      <c r="B75" t="s">
        <v>449</v>
      </c>
      <c r="C75" s="30">
        <f>COUNTIF(PlanAktarılacakSayfa!C:C,B75)</f>
        <v>0</v>
      </c>
      <c r="E75" t="s">
        <v>612</v>
      </c>
      <c r="F75" s="33">
        <f>COUNTIF(PlanAktarılacakSayfa!C:C,E75)</f>
        <v>0</v>
      </c>
    </row>
    <row r="76" spans="2:6" x14ac:dyDescent="0.25">
      <c r="B76" t="s">
        <v>450</v>
      </c>
      <c r="C76" s="30">
        <f>COUNTIF(PlanAktarılacakSayfa!C:C,B76)</f>
        <v>0</v>
      </c>
      <c r="E76" t="s">
        <v>613</v>
      </c>
      <c r="F76" s="33">
        <f>COUNTIF(PlanAktarılacakSayfa!C:C,E76)</f>
        <v>0</v>
      </c>
    </row>
    <row r="77" spans="2:6" x14ac:dyDescent="0.25">
      <c r="B77" t="s">
        <v>451</v>
      </c>
      <c r="C77" s="30">
        <f>COUNTIF(PlanAktarılacakSayfa!C:C,B77)</f>
        <v>0</v>
      </c>
      <c r="E77" t="s">
        <v>420</v>
      </c>
      <c r="F77" s="33">
        <f>COUNTIF(PlanAktarılacakSayfa!C:C,E77)</f>
        <v>0</v>
      </c>
    </row>
    <row r="78" spans="2:6" x14ac:dyDescent="0.25">
      <c r="B78" t="s">
        <v>452</v>
      </c>
      <c r="C78" s="30">
        <f>COUNTIF(PlanAktarılacakSayfa!C:C,B78)</f>
        <v>0</v>
      </c>
      <c r="E78" t="s">
        <v>421</v>
      </c>
      <c r="F78" s="33">
        <f>COUNTIF(PlanAktarılacakSayfa!C:C,E78)</f>
        <v>0</v>
      </c>
    </row>
    <row r="79" spans="2:6" x14ac:dyDescent="0.25">
      <c r="B79" t="s">
        <v>453</v>
      </c>
      <c r="C79" s="30">
        <f>COUNTIF(PlanAktarılacakSayfa!C:C,B79)</f>
        <v>0</v>
      </c>
      <c r="E79" t="s">
        <v>422</v>
      </c>
      <c r="F79" s="33">
        <f>COUNTIF(PlanAktarılacakSayfa!C:C,E79)</f>
        <v>0</v>
      </c>
    </row>
    <row r="80" spans="2:6" x14ac:dyDescent="0.25">
      <c r="B80" t="s">
        <v>454</v>
      </c>
      <c r="C80" s="30">
        <f>COUNTIF(PlanAktarılacakSayfa!C:C,B80)</f>
        <v>0</v>
      </c>
      <c r="E80" t="s">
        <v>614</v>
      </c>
      <c r="F80" s="33">
        <f>COUNTIF(PlanAktarılacakSayfa!C:C,E80)</f>
        <v>0</v>
      </c>
    </row>
    <row r="81" spans="2:6" x14ac:dyDescent="0.25">
      <c r="B81" t="s">
        <v>455</v>
      </c>
      <c r="C81" s="30">
        <f>COUNTIF(PlanAktarılacakSayfa!C:C,B81)</f>
        <v>0</v>
      </c>
      <c r="E81" s="1" t="s">
        <v>615</v>
      </c>
      <c r="F81" s="33">
        <f>COUNTIF(PlanAktarılacakSayfa!C:C,E81)</f>
        <v>0</v>
      </c>
    </row>
    <row r="82" spans="2:6" x14ac:dyDescent="0.25">
      <c r="B82" t="s">
        <v>456</v>
      </c>
      <c r="C82" s="30">
        <f>COUNTIF(PlanAktarılacakSayfa!C:C,B82)</f>
        <v>0</v>
      </c>
      <c r="E82" s="1" t="s">
        <v>616</v>
      </c>
      <c r="F82" s="33">
        <f>COUNTIF(PlanAktarılacakSayfa!C:C,E82)</f>
        <v>0</v>
      </c>
    </row>
    <row r="83" spans="2:6" x14ac:dyDescent="0.25">
      <c r="B83" t="s">
        <v>457</v>
      </c>
      <c r="C83" s="30">
        <f>COUNTIF(PlanAktarılacakSayfa!C:C,B83)</f>
        <v>0</v>
      </c>
      <c r="E83" s="1" t="s">
        <v>423</v>
      </c>
      <c r="F83" s="33">
        <f>COUNTIF(PlanAktarılacakSayfa!C:C,E83)</f>
        <v>0</v>
      </c>
    </row>
    <row r="84" spans="2:6" x14ac:dyDescent="0.25">
      <c r="B84" t="s">
        <v>458</v>
      </c>
      <c r="C84" s="30">
        <f>COUNTIF(PlanAktarılacakSayfa!C:C,B84)</f>
        <v>0</v>
      </c>
      <c r="E84" s="1" t="s">
        <v>424</v>
      </c>
      <c r="F84" s="33">
        <f>COUNTIF(PlanAktarılacakSayfa!C:C,E84)</f>
        <v>0</v>
      </c>
    </row>
    <row r="85" spans="2:6" x14ac:dyDescent="0.25">
      <c r="B85" t="s">
        <v>459</v>
      </c>
      <c r="C85" s="30">
        <f>COUNTIF(PlanAktarılacakSayfa!C:C,B85)</f>
        <v>0</v>
      </c>
      <c r="E85" s="1" t="s">
        <v>425</v>
      </c>
      <c r="F85" s="33">
        <f>COUNTIF(PlanAktarılacakSayfa!C:C,E85)</f>
        <v>0</v>
      </c>
    </row>
    <row r="86" spans="2:6" x14ac:dyDescent="0.25">
      <c r="B86" t="s">
        <v>460</v>
      </c>
      <c r="C86" s="30">
        <f>COUNTIF(PlanAktarılacakSayfa!C:C,B86)</f>
        <v>0</v>
      </c>
      <c r="E86" t="s">
        <v>617</v>
      </c>
      <c r="F86" s="33">
        <f>COUNTIF(PlanAktarılacakSayfa!C:C,E86)</f>
        <v>0</v>
      </c>
    </row>
    <row r="87" spans="2:6" x14ac:dyDescent="0.25">
      <c r="B87" t="s">
        <v>461</v>
      </c>
      <c r="C87" s="30">
        <f>COUNTIF(PlanAktarılacakSayfa!C:C,B87)</f>
        <v>0</v>
      </c>
      <c r="E87" t="s">
        <v>618</v>
      </c>
      <c r="F87" s="33">
        <f>COUNTIF(PlanAktarılacakSayfa!C:C,E87)</f>
        <v>0</v>
      </c>
    </row>
    <row r="88" spans="2:6" x14ac:dyDescent="0.25">
      <c r="B88" t="s">
        <v>462</v>
      </c>
      <c r="C88" s="30">
        <f>COUNTIF(PlanAktarılacakSayfa!C:C,B88)</f>
        <v>0</v>
      </c>
      <c r="E88" t="s">
        <v>619</v>
      </c>
      <c r="F88" s="33">
        <f>COUNTIF(PlanAktarılacakSayfa!C:C,E88)</f>
        <v>0</v>
      </c>
    </row>
    <row r="89" spans="2:6" x14ac:dyDescent="0.25">
      <c r="B89" t="s">
        <v>463</v>
      </c>
      <c r="C89" s="30">
        <f>COUNTIF(PlanAktarılacakSayfa!C:C,B89)</f>
        <v>0</v>
      </c>
      <c r="E89" t="s">
        <v>620</v>
      </c>
      <c r="F89" s="33">
        <f>COUNTIF(PlanAktarılacakSayfa!C:C,E89)</f>
        <v>0</v>
      </c>
    </row>
    <row r="90" spans="2:6" x14ac:dyDescent="0.25">
      <c r="B90" t="s">
        <v>464</v>
      </c>
      <c r="C90" s="30">
        <f>COUNTIF(PlanAktarılacakSayfa!C:C,B90)</f>
        <v>0</v>
      </c>
      <c r="E90" t="s">
        <v>621</v>
      </c>
      <c r="F90" s="33">
        <f>COUNTIF(PlanAktarılacakSayfa!C:C,E90)</f>
        <v>0</v>
      </c>
    </row>
    <row r="91" spans="2:6" x14ac:dyDescent="0.25">
      <c r="B91" t="s">
        <v>465</v>
      </c>
      <c r="C91" s="30">
        <f>COUNTIF(PlanAktarılacakSayfa!C:C,B91)</f>
        <v>0</v>
      </c>
      <c r="E91" t="s">
        <v>622</v>
      </c>
      <c r="F91" s="33">
        <f>COUNTIF(PlanAktarılacakSayfa!C:C,E91)</f>
        <v>0</v>
      </c>
    </row>
    <row r="92" spans="2:6" x14ac:dyDescent="0.25">
      <c r="B92" t="s">
        <v>466</v>
      </c>
      <c r="C92" s="30">
        <f>COUNTIF(PlanAktarılacakSayfa!C:C,B92)</f>
        <v>0</v>
      </c>
      <c r="E92" t="s">
        <v>623</v>
      </c>
      <c r="F92" s="33">
        <f>COUNTIF(PlanAktarılacakSayfa!C:C,E92)</f>
        <v>0</v>
      </c>
    </row>
    <row r="93" spans="2:6" x14ac:dyDescent="0.25">
      <c r="B93" t="s">
        <v>467</v>
      </c>
      <c r="C93" s="30">
        <f>COUNTIF(PlanAktarılacakSayfa!C:C,B93)</f>
        <v>0</v>
      </c>
      <c r="E93" t="s">
        <v>624</v>
      </c>
      <c r="F93" s="33">
        <f>COUNTIF(PlanAktarılacakSayfa!C:C,E93)</f>
        <v>0</v>
      </c>
    </row>
    <row r="94" spans="2:6" x14ac:dyDescent="0.25">
      <c r="B94" t="s">
        <v>468</v>
      </c>
      <c r="C94" s="30">
        <f>COUNTIF(PlanAktarılacakSayfa!C:C,B94)</f>
        <v>0</v>
      </c>
      <c r="E94" s="1" t="s">
        <v>625</v>
      </c>
      <c r="F94" s="33">
        <f>COUNTIF(PlanAktarılacakSayfa!C:C,E94)</f>
        <v>0</v>
      </c>
    </row>
    <row r="95" spans="2:6" x14ac:dyDescent="0.25">
      <c r="B95" t="s">
        <v>469</v>
      </c>
      <c r="C95" s="30">
        <f>COUNTIF(PlanAktarılacakSayfa!C:C,B95)</f>
        <v>0</v>
      </c>
      <c r="E95" t="s">
        <v>626</v>
      </c>
      <c r="F95" s="33">
        <f>COUNTIF(PlanAktarılacakSayfa!C:C,E95)</f>
        <v>0</v>
      </c>
    </row>
    <row r="96" spans="2:6" x14ac:dyDescent="0.25">
      <c r="B96" t="s">
        <v>470</v>
      </c>
      <c r="C96" s="30">
        <f>COUNTIF(PlanAktarılacakSayfa!C:C,B96)</f>
        <v>0</v>
      </c>
      <c r="E96" t="s">
        <v>627</v>
      </c>
      <c r="F96" s="33">
        <f>COUNTIF(PlanAktarılacakSayfa!C:C,E96)</f>
        <v>0</v>
      </c>
    </row>
    <row r="97" spans="2:6" x14ac:dyDescent="0.25">
      <c r="B97" t="s">
        <v>471</v>
      </c>
      <c r="C97" s="30">
        <f>COUNTIF(PlanAktarılacakSayfa!C:C,B97)</f>
        <v>0</v>
      </c>
      <c r="E97" t="s">
        <v>628</v>
      </c>
      <c r="F97" s="33">
        <f>COUNTIF(PlanAktarılacakSayfa!C:C,E97)</f>
        <v>0</v>
      </c>
    </row>
    <row r="98" spans="2:6" x14ac:dyDescent="0.25">
      <c r="B98" t="s">
        <v>472</v>
      </c>
      <c r="C98" s="30">
        <f>COUNTIF(PlanAktarılacakSayfa!C:C,B98)</f>
        <v>0</v>
      </c>
      <c r="E98" t="s">
        <v>629</v>
      </c>
      <c r="F98" s="33">
        <f>COUNTIF(PlanAktarılacakSayfa!C:C,E98)</f>
        <v>0</v>
      </c>
    </row>
    <row r="99" spans="2:6" x14ac:dyDescent="0.25">
      <c r="B99" t="s">
        <v>473</v>
      </c>
      <c r="C99" s="30">
        <f>COUNTIF(PlanAktarılacakSayfa!C:C,B99)</f>
        <v>0</v>
      </c>
      <c r="E99" t="s">
        <v>630</v>
      </c>
      <c r="F99" s="33">
        <f>COUNTIF(PlanAktarılacakSayfa!C:C,E99)</f>
        <v>0</v>
      </c>
    </row>
    <row r="100" spans="2:6" x14ac:dyDescent="0.25">
      <c r="B100" t="s">
        <v>474</v>
      </c>
      <c r="C100" s="30">
        <f>COUNTIF(PlanAktarılacakSayfa!C:C,B100)</f>
        <v>0</v>
      </c>
      <c r="E100" t="s">
        <v>631</v>
      </c>
      <c r="F100" s="33">
        <f>COUNTIF(PlanAktarılacakSayfa!C:C,E100)</f>
        <v>0</v>
      </c>
    </row>
    <row r="101" spans="2:6" x14ac:dyDescent="0.25">
      <c r="B101" t="s">
        <v>475</v>
      </c>
      <c r="C101" s="30">
        <f>COUNTIF(PlanAktarılacakSayfa!C:C,B101)</f>
        <v>0</v>
      </c>
      <c r="E101" t="s">
        <v>632</v>
      </c>
      <c r="F101" s="33">
        <f>COUNTIF(PlanAktarılacakSayfa!C:C,E101)</f>
        <v>0</v>
      </c>
    </row>
    <row r="102" spans="2:6" x14ac:dyDescent="0.25">
      <c r="B102" t="s">
        <v>476</v>
      </c>
      <c r="C102" s="30">
        <f>COUNTIF(PlanAktarılacakSayfa!C:C,B102)</f>
        <v>0</v>
      </c>
      <c r="E102" t="s">
        <v>633</v>
      </c>
      <c r="F102" s="33">
        <f>COUNTIF(PlanAktarılacakSayfa!C:C,E102)</f>
        <v>0</v>
      </c>
    </row>
    <row r="103" spans="2:6" x14ac:dyDescent="0.25">
      <c r="B103" t="s">
        <v>477</v>
      </c>
      <c r="C103" s="30">
        <f>COUNTIF(PlanAktarılacakSayfa!C:C,B103)</f>
        <v>0</v>
      </c>
      <c r="E103" t="s">
        <v>634</v>
      </c>
      <c r="F103" s="33">
        <f>COUNTIF(PlanAktarılacakSayfa!C:C,E103)</f>
        <v>0</v>
      </c>
    </row>
    <row r="104" spans="2:6" x14ac:dyDescent="0.25">
      <c r="B104" t="s">
        <v>478</v>
      </c>
      <c r="C104" s="30">
        <f>COUNTIF(PlanAktarılacakSayfa!C:C,B104)</f>
        <v>0</v>
      </c>
      <c r="E104" t="s">
        <v>635</v>
      </c>
      <c r="F104" s="33">
        <f>COUNTIF(PlanAktarılacakSayfa!C:C,E104)</f>
        <v>0</v>
      </c>
    </row>
    <row r="105" spans="2:6" x14ac:dyDescent="0.25">
      <c r="B105" t="s">
        <v>479</v>
      </c>
      <c r="C105" s="30">
        <f>COUNTIF(PlanAktarılacakSayfa!C:C,B105)</f>
        <v>0</v>
      </c>
      <c r="E105" t="s">
        <v>636</v>
      </c>
      <c r="F105" s="33">
        <f>COUNTIF(PlanAktarılacakSayfa!C:C,E105)</f>
        <v>0</v>
      </c>
    </row>
    <row r="106" spans="2:6" x14ac:dyDescent="0.25">
      <c r="B106" t="s">
        <v>480</v>
      </c>
      <c r="C106" s="30">
        <f>COUNTIF(PlanAktarılacakSayfa!C:C,B106)</f>
        <v>0</v>
      </c>
      <c r="E106" t="s">
        <v>637</v>
      </c>
      <c r="F106" s="33">
        <f>COUNTIF(PlanAktarılacakSayfa!C:C,E106)</f>
        <v>0</v>
      </c>
    </row>
    <row r="107" spans="2:6" x14ac:dyDescent="0.25">
      <c r="B107" t="s">
        <v>481</v>
      </c>
      <c r="C107" s="30">
        <f>COUNTIF(PlanAktarılacakSayfa!C:C,B107)</f>
        <v>0</v>
      </c>
      <c r="E107" t="s">
        <v>638</v>
      </c>
      <c r="F107" s="33">
        <f>COUNTIF(PlanAktarılacakSayfa!C:C,E107)</f>
        <v>0</v>
      </c>
    </row>
    <row r="108" spans="2:6" x14ac:dyDescent="0.25">
      <c r="B108" t="s">
        <v>482</v>
      </c>
      <c r="C108" s="30">
        <f>COUNTIF(PlanAktarılacakSayfa!C:C,B108)</f>
        <v>0</v>
      </c>
      <c r="E108" t="s">
        <v>639</v>
      </c>
      <c r="F108" s="33">
        <f>COUNTIF(PlanAktarılacakSayfa!C:C,E108)</f>
        <v>0</v>
      </c>
    </row>
    <row r="109" spans="2:6" x14ac:dyDescent="0.25">
      <c r="B109" t="s">
        <v>483</v>
      </c>
      <c r="C109" s="30">
        <f>COUNTIF(PlanAktarılacakSayfa!C:C,B109)</f>
        <v>0</v>
      </c>
      <c r="E109" t="s">
        <v>640</v>
      </c>
      <c r="F109" s="33">
        <f>COUNTIF(PlanAktarılacakSayfa!C:C,E109)</f>
        <v>0</v>
      </c>
    </row>
    <row r="110" spans="2:6" x14ac:dyDescent="0.25">
      <c r="B110" t="s">
        <v>484</v>
      </c>
      <c r="C110" s="30">
        <f>COUNTIF(PlanAktarılacakSayfa!C:C,B110)</f>
        <v>0</v>
      </c>
      <c r="E110" t="s">
        <v>641</v>
      </c>
      <c r="F110" s="33">
        <f>COUNTIF(PlanAktarılacakSayfa!C:C,E110)</f>
        <v>0</v>
      </c>
    </row>
    <row r="111" spans="2:6" x14ac:dyDescent="0.25">
      <c r="B111" t="s">
        <v>485</v>
      </c>
      <c r="C111" s="30">
        <f>COUNTIF(PlanAktarılacakSayfa!C:C,B111)</f>
        <v>0</v>
      </c>
      <c r="E111" t="s">
        <v>642</v>
      </c>
      <c r="F111" s="33">
        <f>COUNTIF(PlanAktarılacakSayfa!C:C,E111)</f>
        <v>0</v>
      </c>
    </row>
    <row r="112" spans="2:6" x14ac:dyDescent="0.25">
      <c r="B112" t="s">
        <v>486</v>
      </c>
      <c r="C112" s="30">
        <f>COUNTIF(PlanAktarılacakSayfa!C:C,B112)</f>
        <v>0</v>
      </c>
      <c r="E112" t="s">
        <v>643</v>
      </c>
      <c r="F112" s="33">
        <f>COUNTIF(PlanAktarılacakSayfa!C:C,E112)</f>
        <v>0</v>
      </c>
    </row>
    <row r="113" spans="2:6" x14ac:dyDescent="0.25">
      <c r="B113" t="s">
        <v>487</v>
      </c>
      <c r="C113" s="30">
        <f>COUNTIF(PlanAktarılacakSayfa!C:C,B113)</f>
        <v>0</v>
      </c>
      <c r="E113" t="s">
        <v>426</v>
      </c>
      <c r="F113" s="33">
        <f>COUNTIF(PlanAktarılacakSayfa!C:C,E113)</f>
        <v>0</v>
      </c>
    </row>
    <row r="114" spans="2:6" x14ac:dyDescent="0.25">
      <c r="B114" t="s">
        <v>488</v>
      </c>
      <c r="C114" s="30">
        <f>COUNTIF(PlanAktarılacakSayfa!C:C,B114)</f>
        <v>0</v>
      </c>
      <c r="E114" t="s">
        <v>427</v>
      </c>
      <c r="F114" s="33">
        <f>COUNTIF(PlanAktarılacakSayfa!C:C,E114)</f>
        <v>0</v>
      </c>
    </row>
    <row r="115" spans="2:6" x14ac:dyDescent="0.25">
      <c r="B115" t="s">
        <v>489</v>
      </c>
      <c r="C115" s="30">
        <f>COUNTIF(PlanAktarılacakSayfa!C:C,B115)</f>
        <v>0</v>
      </c>
      <c r="E115" t="s">
        <v>428</v>
      </c>
      <c r="F115" s="33">
        <f>COUNTIF(PlanAktarılacakSayfa!C:C,E115)</f>
        <v>0</v>
      </c>
    </row>
    <row r="116" spans="2:6" x14ac:dyDescent="0.25">
      <c r="B116" t="s">
        <v>490</v>
      </c>
      <c r="C116" s="30">
        <f>COUNTIF(PlanAktarılacakSayfa!C:C,B116)</f>
        <v>0</v>
      </c>
      <c r="E116" t="s">
        <v>644</v>
      </c>
      <c r="F116" s="33">
        <f>COUNTIF(PlanAktarılacakSayfa!C:C,E116)</f>
        <v>0</v>
      </c>
    </row>
    <row r="117" spans="2:6" x14ac:dyDescent="0.25">
      <c r="B117" t="s">
        <v>491</v>
      </c>
      <c r="C117" s="30">
        <f>COUNTIF(PlanAktarılacakSayfa!C:C,B117)</f>
        <v>0</v>
      </c>
      <c r="E117" t="s">
        <v>645</v>
      </c>
      <c r="F117" s="33">
        <f>COUNTIF(PlanAktarılacakSayfa!C:C,E117)</f>
        <v>0</v>
      </c>
    </row>
    <row r="118" spans="2:6" x14ac:dyDescent="0.25">
      <c r="B118" t="s">
        <v>492</v>
      </c>
      <c r="C118" s="30">
        <f>COUNTIF(PlanAktarılacakSayfa!C:C,B118)</f>
        <v>0</v>
      </c>
      <c r="E118" t="s">
        <v>646</v>
      </c>
      <c r="F118" s="33">
        <f>COUNTIF(PlanAktarılacakSayfa!C:C,E118)</f>
        <v>0</v>
      </c>
    </row>
    <row r="119" spans="2:6" x14ac:dyDescent="0.25">
      <c r="B119" t="s">
        <v>493</v>
      </c>
      <c r="C119" s="30">
        <f>COUNTIF(PlanAktarılacakSayfa!C:C,B119)</f>
        <v>0</v>
      </c>
      <c r="E119" t="s">
        <v>647</v>
      </c>
      <c r="F119" s="33">
        <f>COUNTIF(PlanAktarılacakSayfa!C:C,E119)</f>
        <v>0</v>
      </c>
    </row>
    <row r="120" spans="2:6" x14ac:dyDescent="0.25">
      <c r="B120" t="s">
        <v>494</v>
      </c>
      <c r="C120" s="30">
        <f>COUNTIF(PlanAktarılacakSayfa!C:C,B120)</f>
        <v>0</v>
      </c>
      <c r="E120" t="s">
        <v>648</v>
      </c>
      <c r="F120" s="33">
        <f>COUNTIF(PlanAktarılacakSayfa!C:C,E120)</f>
        <v>0</v>
      </c>
    </row>
    <row r="121" spans="2:6" x14ac:dyDescent="0.25">
      <c r="B121" t="s">
        <v>495</v>
      </c>
      <c r="C121" s="30">
        <f>COUNTIF(PlanAktarılacakSayfa!C:C,B121)</f>
        <v>0</v>
      </c>
      <c r="E121" t="s">
        <v>649</v>
      </c>
      <c r="F121" s="33">
        <f>COUNTIF(PlanAktarılacakSayfa!C:C,E121)</f>
        <v>0</v>
      </c>
    </row>
    <row r="122" spans="2:6" x14ac:dyDescent="0.25">
      <c r="B122" t="s">
        <v>496</v>
      </c>
      <c r="C122" s="30">
        <f>COUNTIF(PlanAktarılacakSayfa!C:C,B122)</f>
        <v>0</v>
      </c>
      <c r="E122" t="s">
        <v>650</v>
      </c>
      <c r="F122" s="33">
        <f>COUNTIF(PlanAktarılacakSayfa!C:C,E122)</f>
        <v>0</v>
      </c>
    </row>
    <row r="123" spans="2:6" x14ac:dyDescent="0.25">
      <c r="B123" t="s">
        <v>497</v>
      </c>
      <c r="C123" s="30">
        <f>COUNTIF(PlanAktarılacakSayfa!C:C,B123)</f>
        <v>0</v>
      </c>
      <c r="E123" t="s">
        <v>651</v>
      </c>
      <c r="F123" s="33">
        <f>COUNTIF(PlanAktarılacakSayfa!C:C,E123)</f>
        <v>0</v>
      </c>
    </row>
    <row r="124" spans="2:6" x14ac:dyDescent="0.25">
      <c r="B124" t="s">
        <v>498</v>
      </c>
      <c r="C124" s="30">
        <f>COUNTIF(PlanAktarılacakSayfa!C:C,B124)</f>
        <v>0</v>
      </c>
      <c r="E124" t="s">
        <v>652</v>
      </c>
      <c r="F124" s="33">
        <f>COUNTIF(PlanAktarılacakSayfa!C:C,E124)</f>
        <v>0</v>
      </c>
    </row>
    <row r="125" spans="2:6" x14ac:dyDescent="0.25">
      <c r="B125" t="s">
        <v>499</v>
      </c>
      <c r="C125" s="30">
        <f>COUNTIF(PlanAktarılacakSayfa!C:C,B125)</f>
        <v>0</v>
      </c>
      <c r="E125" t="s">
        <v>653</v>
      </c>
      <c r="F125" s="33">
        <f>COUNTIF(PlanAktarılacakSayfa!C:C,E125)</f>
        <v>0</v>
      </c>
    </row>
    <row r="126" spans="2:6" x14ac:dyDescent="0.25">
      <c r="B126" t="s">
        <v>500</v>
      </c>
      <c r="C126" s="30">
        <f>COUNTIF(PlanAktarılacakSayfa!C:C,B126)</f>
        <v>0</v>
      </c>
      <c r="E126" t="s">
        <v>654</v>
      </c>
      <c r="F126" s="33">
        <f>COUNTIF(PlanAktarılacakSayfa!C:C,E126)</f>
        <v>0</v>
      </c>
    </row>
    <row r="127" spans="2:6" x14ac:dyDescent="0.25">
      <c r="B127" t="s">
        <v>501</v>
      </c>
      <c r="C127" s="30">
        <f>COUNTIF(PlanAktarılacakSayfa!C:C,B127)</f>
        <v>0</v>
      </c>
      <c r="E127" t="s">
        <v>655</v>
      </c>
      <c r="F127" s="33">
        <f>COUNTIF(PlanAktarılacakSayfa!C:C,E127)</f>
        <v>0</v>
      </c>
    </row>
    <row r="128" spans="2:6" x14ac:dyDescent="0.25">
      <c r="B128" t="s">
        <v>502</v>
      </c>
      <c r="C128" s="30">
        <f>COUNTIF(PlanAktarılacakSayfa!C:C,B128)</f>
        <v>0</v>
      </c>
      <c r="E128" t="s">
        <v>656</v>
      </c>
      <c r="F128" s="33">
        <f>COUNTIF(PlanAktarılacakSayfa!C:C,E128)</f>
        <v>0</v>
      </c>
    </row>
    <row r="129" spans="2:6" x14ac:dyDescent="0.25">
      <c r="B129" t="s">
        <v>503</v>
      </c>
      <c r="C129" s="30">
        <f>COUNTIF(PlanAktarılacakSayfa!C:C,B129)</f>
        <v>0</v>
      </c>
      <c r="E129" t="s">
        <v>657</v>
      </c>
      <c r="F129" s="33">
        <f>COUNTIF(PlanAktarılacakSayfa!C:C,E129)</f>
        <v>0</v>
      </c>
    </row>
    <row r="130" spans="2:6" x14ac:dyDescent="0.25">
      <c r="B130" t="s">
        <v>504</v>
      </c>
      <c r="C130" s="30">
        <f>COUNTIF(PlanAktarılacakSayfa!C:C,B130)</f>
        <v>0</v>
      </c>
      <c r="E130" t="s">
        <v>658</v>
      </c>
      <c r="F130" s="33">
        <f>COUNTIF(PlanAktarılacakSayfa!C:C,E130)</f>
        <v>0</v>
      </c>
    </row>
    <row r="131" spans="2:6" x14ac:dyDescent="0.25">
      <c r="B131" t="s">
        <v>505</v>
      </c>
      <c r="C131" s="30">
        <f>COUNTIF(PlanAktarılacakSayfa!C:C,B131)</f>
        <v>0</v>
      </c>
      <c r="E131" t="s">
        <v>659</v>
      </c>
      <c r="F131" s="33">
        <f>COUNTIF(PlanAktarılacakSayfa!C:C,E131)</f>
        <v>0</v>
      </c>
    </row>
    <row r="132" spans="2:6" x14ac:dyDescent="0.25">
      <c r="B132" t="s">
        <v>506</v>
      </c>
      <c r="C132" s="30">
        <f>COUNTIF(PlanAktarılacakSayfa!C:C,B132)</f>
        <v>0</v>
      </c>
      <c r="E132" t="s">
        <v>660</v>
      </c>
      <c r="F132" s="33">
        <f>COUNTIF(PlanAktarılacakSayfa!C:C,E132)</f>
        <v>0</v>
      </c>
    </row>
    <row r="133" spans="2:6" x14ac:dyDescent="0.25">
      <c r="B133" t="s">
        <v>507</v>
      </c>
      <c r="C133" s="30">
        <f>COUNTIF(PlanAktarılacakSayfa!C:C,B133)</f>
        <v>0</v>
      </c>
      <c r="E133" t="s">
        <v>661</v>
      </c>
      <c r="F133" s="33">
        <f>COUNTIF(PlanAktarılacakSayfa!C:C,E133)</f>
        <v>0</v>
      </c>
    </row>
    <row r="134" spans="2:6" x14ac:dyDescent="0.25">
      <c r="B134" t="s">
        <v>508</v>
      </c>
      <c r="C134" s="30">
        <f>COUNTIF(PlanAktarılacakSayfa!C:C,B134)</f>
        <v>0</v>
      </c>
      <c r="E134" t="s">
        <v>662</v>
      </c>
      <c r="F134" s="33">
        <f>COUNTIF(PlanAktarılacakSayfa!C:C,E134)</f>
        <v>0</v>
      </c>
    </row>
    <row r="135" spans="2:6" x14ac:dyDescent="0.25">
      <c r="B135" t="s">
        <v>509</v>
      </c>
      <c r="C135" s="30">
        <f>COUNTIF(PlanAktarılacakSayfa!C:C,B135)</f>
        <v>0</v>
      </c>
      <c r="E135" t="s">
        <v>663</v>
      </c>
      <c r="F135" s="33">
        <f>COUNTIF(PlanAktarılacakSayfa!C:C,E135)</f>
        <v>0</v>
      </c>
    </row>
    <row r="136" spans="2:6" x14ac:dyDescent="0.25">
      <c r="B136" t="s">
        <v>510</v>
      </c>
      <c r="C136" s="30">
        <f>COUNTIF(PlanAktarılacakSayfa!C:C,B136)</f>
        <v>0</v>
      </c>
      <c r="E136" t="s">
        <v>664</v>
      </c>
      <c r="F136" s="33">
        <f>COUNTIF(PlanAktarılacakSayfa!C:C,E136)</f>
        <v>0</v>
      </c>
    </row>
    <row r="137" spans="2:6" x14ac:dyDescent="0.25">
      <c r="B137" t="s">
        <v>511</v>
      </c>
      <c r="C137" s="30">
        <f>COUNTIF(PlanAktarılacakSayfa!C:C,B137)</f>
        <v>0</v>
      </c>
      <c r="E137" t="s">
        <v>665</v>
      </c>
      <c r="F137" s="33">
        <f>COUNTIF(PlanAktarılacakSayfa!C:C,E137)</f>
        <v>0</v>
      </c>
    </row>
    <row r="138" spans="2:6" x14ac:dyDescent="0.25">
      <c r="B138" t="s">
        <v>512</v>
      </c>
      <c r="C138" s="30">
        <f>COUNTIF(PlanAktarılacakSayfa!C:C,B138)</f>
        <v>0</v>
      </c>
      <c r="E138" t="s">
        <v>666</v>
      </c>
      <c r="F138" s="33">
        <f>COUNTIF(PlanAktarılacakSayfa!C:C,E138)</f>
        <v>0</v>
      </c>
    </row>
    <row r="139" spans="2:6" x14ac:dyDescent="0.25">
      <c r="B139" t="s">
        <v>513</v>
      </c>
      <c r="C139" s="30">
        <f>COUNTIF(PlanAktarılacakSayfa!C:C,B139)</f>
        <v>0</v>
      </c>
      <c r="E139" t="s">
        <v>667</v>
      </c>
      <c r="F139" s="33">
        <f>COUNTIF(PlanAktarılacakSayfa!C:C,E139)</f>
        <v>0</v>
      </c>
    </row>
    <row r="140" spans="2:6" x14ac:dyDescent="0.25">
      <c r="B140" t="s">
        <v>514</v>
      </c>
      <c r="C140" s="30">
        <f>COUNTIF(PlanAktarılacakSayfa!C:C,B140)</f>
        <v>0</v>
      </c>
      <c r="E140" t="s">
        <v>668</v>
      </c>
      <c r="F140" s="33">
        <f>COUNTIF(PlanAktarılacakSayfa!C:C,E140)</f>
        <v>0</v>
      </c>
    </row>
    <row r="141" spans="2:6" x14ac:dyDescent="0.25">
      <c r="B141" t="s">
        <v>515</v>
      </c>
      <c r="C141" s="30">
        <f>COUNTIF(PlanAktarılacakSayfa!C:C,B141)</f>
        <v>0</v>
      </c>
      <c r="E141" t="s">
        <v>669</v>
      </c>
      <c r="F141" s="33">
        <f>COUNTIF(PlanAktarılacakSayfa!C:C,E141)</f>
        <v>0</v>
      </c>
    </row>
    <row r="142" spans="2:6" x14ac:dyDescent="0.25">
      <c r="B142" t="s">
        <v>516</v>
      </c>
      <c r="C142" s="30">
        <f>COUNTIF(PlanAktarılacakSayfa!C:C,B142)</f>
        <v>0</v>
      </c>
      <c r="E142" t="s">
        <v>670</v>
      </c>
      <c r="F142" s="33">
        <f>COUNTIF(PlanAktarılacakSayfa!C:C,E142)</f>
        <v>0</v>
      </c>
    </row>
    <row r="143" spans="2:6" x14ac:dyDescent="0.25">
      <c r="B143" t="s">
        <v>517</v>
      </c>
      <c r="C143" s="30">
        <f>COUNTIF(PlanAktarılacakSayfa!C:C,B143)</f>
        <v>0</v>
      </c>
      <c r="E143" t="s">
        <v>671</v>
      </c>
      <c r="F143" s="33">
        <f>COUNTIF(PlanAktarılacakSayfa!C:C,E143)</f>
        <v>0</v>
      </c>
    </row>
    <row r="144" spans="2:6" x14ac:dyDescent="0.25">
      <c r="B144" t="s">
        <v>518</v>
      </c>
      <c r="C144" s="30">
        <f>COUNTIF(PlanAktarılacakSayfa!C:C,B144)</f>
        <v>0</v>
      </c>
      <c r="E144" t="s">
        <v>672</v>
      </c>
      <c r="F144" s="33">
        <f>COUNTIF(PlanAktarılacakSayfa!C:C,E144)</f>
        <v>0</v>
      </c>
    </row>
    <row r="145" spans="2:6" x14ac:dyDescent="0.25">
      <c r="B145" t="s">
        <v>519</v>
      </c>
      <c r="C145" s="30">
        <f>COUNTIF(PlanAktarılacakSayfa!C:C,B145)</f>
        <v>0</v>
      </c>
      <c r="E145" t="s">
        <v>673</v>
      </c>
      <c r="F145" s="33">
        <f>COUNTIF(PlanAktarılacakSayfa!C:C,E145)</f>
        <v>0</v>
      </c>
    </row>
    <row r="146" spans="2:6" x14ac:dyDescent="0.25">
      <c r="B146" t="s">
        <v>520</v>
      </c>
      <c r="C146" s="30">
        <f>COUNTIF(PlanAktarılacakSayfa!C:C,B146)</f>
        <v>0</v>
      </c>
      <c r="E146" t="s">
        <v>674</v>
      </c>
      <c r="F146" s="33">
        <f>COUNTIF(PlanAktarılacakSayfa!C:C,E146)</f>
        <v>0</v>
      </c>
    </row>
    <row r="147" spans="2:6" x14ac:dyDescent="0.25">
      <c r="B147" t="s">
        <v>521</v>
      </c>
      <c r="C147" s="30">
        <f>COUNTIF(PlanAktarılacakSayfa!C:C,B147)</f>
        <v>0</v>
      </c>
      <c r="E147" t="s">
        <v>675</v>
      </c>
      <c r="F147" s="33">
        <f>COUNTIF(PlanAktarılacakSayfa!C:C,E147)</f>
        <v>0</v>
      </c>
    </row>
    <row r="148" spans="2:6" x14ac:dyDescent="0.25">
      <c r="B148" t="s">
        <v>522</v>
      </c>
      <c r="C148" s="30">
        <f>COUNTIF(PlanAktarılacakSayfa!C:C,B148)</f>
        <v>0</v>
      </c>
      <c r="E148" t="s">
        <v>676</v>
      </c>
      <c r="F148" s="33">
        <f>COUNTIF(PlanAktarılacakSayfa!C:C,E148)</f>
        <v>0</v>
      </c>
    </row>
    <row r="149" spans="2:6" x14ac:dyDescent="0.25">
      <c r="B149" t="s">
        <v>523</v>
      </c>
      <c r="C149" s="30">
        <f>COUNTIF(PlanAktarılacakSayfa!C:C,B149)</f>
        <v>0</v>
      </c>
      <c r="E149" t="s">
        <v>677</v>
      </c>
      <c r="F149" s="33">
        <f>COUNTIF(PlanAktarılacakSayfa!C:C,E149)</f>
        <v>0</v>
      </c>
    </row>
    <row r="150" spans="2:6" x14ac:dyDescent="0.25">
      <c r="B150" t="s">
        <v>524</v>
      </c>
      <c r="C150" s="30">
        <f>COUNTIF(PlanAktarılacakSayfa!C:C,B150)</f>
        <v>0</v>
      </c>
      <c r="E150" t="s">
        <v>678</v>
      </c>
      <c r="F150" s="33">
        <f>COUNTIF(PlanAktarılacakSayfa!C:C,E150)</f>
        <v>0</v>
      </c>
    </row>
    <row r="151" spans="2:6" x14ac:dyDescent="0.25">
      <c r="B151" t="s">
        <v>525</v>
      </c>
      <c r="C151" s="30">
        <f>COUNTIF(PlanAktarılacakSayfa!C:C,B151)</f>
        <v>0</v>
      </c>
      <c r="E151" t="s">
        <v>679</v>
      </c>
      <c r="F151" s="33">
        <f>COUNTIF(PlanAktarılacakSayfa!C:C,E151)</f>
        <v>0</v>
      </c>
    </row>
    <row r="152" spans="2:6" x14ac:dyDescent="0.25">
      <c r="B152" t="s">
        <v>526</v>
      </c>
      <c r="C152" s="30">
        <f>COUNTIF(PlanAktarılacakSayfa!C:C,B152)</f>
        <v>0</v>
      </c>
      <c r="E152" t="s">
        <v>680</v>
      </c>
      <c r="F152" s="33">
        <f>COUNTIF(PlanAktarılacakSayfa!C:C,E152)</f>
        <v>0</v>
      </c>
    </row>
    <row r="153" spans="2:6" x14ac:dyDescent="0.25">
      <c r="B153" t="s">
        <v>527</v>
      </c>
      <c r="C153" s="30">
        <f>COUNTIF(PlanAktarılacakSayfa!C:C,B153)</f>
        <v>0</v>
      </c>
      <c r="E153" t="s">
        <v>681</v>
      </c>
      <c r="F153" s="33">
        <f>COUNTIF(PlanAktarılacakSayfa!C:C,E153)</f>
        <v>0</v>
      </c>
    </row>
    <row r="154" spans="2:6" x14ac:dyDescent="0.25">
      <c r="B154" t="s">
        <v>528</v>
      </c>
      <c r="C154" s="30">
        <f>COUNTIF(PlanAktarılacakSayfa!C:C,B154)</f>
        <v>0</v>
      </c>
      <c r="E154" t="s">
        <v>682</v>
      </c>
      <c r="F154" s="33">
        <f>COUNTIF(PlanAktarılacakSayfa!C:C,E154)</f>
        <v>0</v>
      </c>
    </row>
    <row r="155" spans="2:6" x14ac:dyDescent="0.25">
      <c r="B155" t="s">
        <v>529</v>
      </c>
      <c r="C155" s="30">
        <f>COUNTIF(PlanAktarılacakSayfa!C:C,B155)</f>
        <v>0</v>
      </c>
      <c r="E155" t="s">
        <v>683</v>
      </c>
      <c r="F155" s="33">
        <f>COUNTIF(PlanAktarılacakSayfa!C:C,E155)</f>
        <v>0</v>
      </c>
    </row>
    <row r="156" spans="2:6" x14ac:dyDescent="0.25">
      <c r="B156" t="s">
        <v>530</v>
      </c>
      <c r="C156" s="30">
        <f>COUNTIF(PlanAktarılacakSayfa!C:C,B156)</f>
        <v>0</v>
      </c>
      <c r="E156" t="s">
        <v>684</v>
      </c>
      <c r="F156" s="33">
        <f>COUNTIF(PlanAktarılacakSayfa!C:C,E156)</f>
        <v>0</v>
      </c>
    </row>
    <row r="157" spans="2:6" x14ac:dyDescent="0.25">
      <c r="B157" t="s">
        <v>531</v>
      </c>
      <c r="C157" s="30">
        <f>COUNTIF(PlanAktarılacakSayfa!C:C,B157)</f>
        <v>0</v>
      </c>
      <c r="E157" t="s">
        <v>685</v>
      </c>
      <c r="F157" s="33">
        <f>COUNTIF(PlanAktarılacakSayfa!C:C,E157)</f>
        <v>0</v>
      </c>
    </row>
    <row r="158" spans="2:6" x14ac:dyDescent="0.25">
      <c r="B158" t="s">
        <v>532</v>
      </c>
      <c r="C158" s="30">
        <f>COUNTIF(PlanAktarılacakSayfa!C:C,B158)</f>
        <v>0</v>
      </c>
      <c r="E158" t="s">
        <v>686</v>
      </c>
      <c r="F158" s="33">
        <f>COUNTIF(PlanAktarılacakSayfa!C:C,E158)</f>
        <v>0</v>
      </c>
    </row>
    <row r="159" spans="2:6" x14ac:dyDescent="0.25">
      <c r="B159" t="s">
        <v>533</v>
      </c>
      <c r="C159" s="30">
        <f>COUNTIF(PlanAktarılacakSayfa!C:C,B159)</f>
        <v>0</v>
      </c>
      <c r="E159" t="s">
        <v>687</v>
      </c>
      <c r="F159" s="33">
        <f>COUNTIF(PlanAktarılacakSayfa!C:C,E159)</f>
        <v>0</v>
      </c>
    </row>
    <row r="160" spans="2:6" x14ac:dyDescent="0.25">
      <c r="B160" t="s">
        <v>534</v>
      </c>
      <c r="C160" s="30">
        <f>COUNTIF(PlanAktarılacakSayfa!C:C,B160)</f>
        <v>0</v>
      </c>
      <c r="E160" t="s">
        <v>688</v>
      </c>
      <c r="F160" s="33">
        <f>COUNTIF(PlanAktarılacakSayfa!C:C,E160)</f>
        <v>0</v>
      </c>
    </row>
    <row r="161" spans="2:6" x14ac:dyDescent="0.25">
      <c r="B161" t="s">
        <v>535</v>
      </c>
      <c r="C161" s="30">
        <f>COUNTIF(PlanAktarılacakSayfa!C:C,B161)</f>
        <v>0</v>
      </c>
      <c r="E161" t="s">
        <v>689</v>
      </c>
      <c r="F161" s="33">
        <f>COUNTIF(PlanAktarılacakSayfa!C:C,E161)</f>
        <v>0</v>
      </c>
    </row>
    <row r="162" spans="2:6" x14ac:dyDescent="0.25">
      <c r="B162" t="s">
        <v>536</v>
      </c>
      <c r="C162" s="30">
        <f>COUNTIF(PlanAktarılacakSayfa!C:C,B162)</f>
        <v>0</v>
      </c>
      <c r="E162" t="s">
        <v>690</v>
      </c>
      <c r="F162" s="33">
        <f>COUNTIF(PlanAktarılacakSayfa!C:C,E162)</f>
        <v>0</v>
      </c>
    </row>
    <row r="163" spans="2:6" x14ac:dyDescent="0.25">
      <c r="B163" t="s">
        <v>537</v>
      </c>
      <c r="C163" s="30">
        <f>COUNTIF(PlanAktarılacakSayfa!C:C,B163)</f>
        <v>0</v>
      </c>
      <c r="E163" s="1" t="s">
        <v>691</v>
      </c>
      <c r="F163" s="33">
        <f>COUNTIF(PlanAktarılacakSayfa!C:C,E163)</f>
        <v>0</v>
      </c>
    </row>
    <row r="164" spans="2:6" x14ac:dyDescent="0.25">
      <c r="B164" t="s">
        <v>538</v>
      </c>
      <c r="C164" s="30">
        <f>COUNTIF(PlanAktarılacakSayfa!C:C,B164)</f>
        <v>0</v>
      </c>
      <c r="E164" t="s">
        <v>692</v>
      </c>
      <c r="F164" s="33">
        <f>COUNTIF(PlanAktarılacakSayfa!C:C,E164)</f>
        <v>0</v>
      </c>
    </row>
    <row r="165" spans="2:6" x14ac:dyDescent="0.25">
      <c r="B165" t="s">
        <v>539</v>
      </c>
      <c r="C165" s="30">
        <f>COUNTIF(PlanAktarılacakSayfa!C:C,B165)</f>
        <v>0</v>
      </c>
      <c r="E165" t="s">
        <v>693</v>
      </c>
      <c r="F165" s="33">
        <f>COUNTIF(PlanAktarılacakSayfa!C:C,E165)</f>
        <v>0</v>
      </c>
    </row>
    <row r="166" spans="2:6" x14ac:dyDescent="0.25">
      <c r="B166" t="s">
        <v>540</v>
      </c>
      <c r="C166" s="30">
        <f>COUNTIF(PlanAktarılacakSayfa!C:C,B166)</f>
        <v>0</v>
      </c>
      <c r="E166" t="s">
        <v>694</v>
      </c>
      <c r="F166" s="33">
        <f>COUNTIF(PlanAktarılacakSayfa!C:C,E166)</f>
        <v>0</v>
      </c>
    </row>
    <row r="167" spans="2:6" x14ac:dyDescent="0.25">
      <c r="B167" t="s">
        <v>541</v>
      </c>
      <c r="C167" s="30">
        <f>COUNTIF(PlanAktarılacakSayfa!C:C,B167)</f>
        <v>0</v>
      </c>
      <c r="E167" t="s">
        <v>695</v>
      </c>
      <c r="F167" s="33">
        <f>COUNTIF(PlanAktarılacakSayfa!C:C,E167)</f>
        <v>0</v>
      </c>
    </row>
    <row r="168" spans="2:6" x14ac:dyDescent="0.25">
      <c r="B168" t="s">
        <v>542</v>
      </c>
      <c r="C168" s="30">
        <f>COUNTIF(PlanAktarılacakSayfa!C:C,B168)</f>
        <v>0</v>
      </c>
      <c r="E168" t="s">
        <v>696</v>
      </c>
      <c r="F168" s="33">
        <f>COUNTIF(PlanAktarılacakSayfa!C:C,E168)</f>
        <v>0</v>
      </c>
    </row>
    <row r="169" spans="2:6" x14ac:dyDescent="0.25">
      <c r="B169" t="s">
        <v>543</v>
      </c>
      <c r="C169" s="30">
        <f>COUNTIF(PlanAktarılacakSayfa!C:C,B169)</f>
        <v>0</v>
      </c>
      <c r="E169" t="s">
        <v>697</v>
      </c>
      <c r="F169" s="33">
        <f>COUNTIF(PlanAktarılacakSayfa!C:C,E169)</f>
        <v>0</v>
      </c>
    </row>
    <row r="170" spans="2:6" x14ac:dyDescent="0.25">
      <c r="B170" t="s">
        <v>544</v>
      </c>
      <c r="C170" s="30">
        <f>COUNTIF(PlanAktarılacakSayfa!C:C,B170)</f>
        <v>0</v>
      </c>
      <c r="E170" t="s">
        <v>698</v>
      </c>
      <c r="F170" s="33">
        <f>COUNTIF(PlanAktarılacakSayfa!C:C,E170)</f>
        <v>0</v>
      </c>
    </row>
    <row r="171" spans="2:6" x14ac:dyDescent="0.25">
      <c r="B171" t="s">
        <v>545</v>
      </c>
      <c r="C171" s="30">
        <f>COUNTIF(PlanAktarılacakSayfa!C:C,B171)</f>
        <v>0</v>
      </c>
      <c r="E171" t="s">
        <v>699</v>
      </c>
      <c r="F171" s="33">
        <f>COUNTIF(PlanAktarılacakSayfa!C:C,E171)</f>
        <v>0</v>
      </c>
    </row>
    <row r="172" spans="2:6" x14ac:dyDescent="0.25">
      <c r="B172" t="s">
        <v>546</v>
      </c>
      <c r="C172" s="30">
        <f>COUNTIF(PlanAktarılacakSayfa!C:C,B172)</f>
        <v>0</v>
      </c>
      <c r="E172" t="s">
        <v>700</v>
      </c>
      <c r="F172" s="33">
        <f>COUNTIF(PlanAktarılacakSayfa!C:C,E172)</f>
        <v>0</v>
      </c>
    </row>
    <row r="173" spans="2:6" x14ac:dyDescent="0.25">
      <c r="B173" t="s">
        <v>547</v>
      </c>
      <c r="C173" s="30">
        <f>COUNTIF(PlanAktarılacakSayfa!C:C,B173)</f>
        <v>0</v>
      </c>
      <c r="E173" t="s">
        <v>701</v>
      </c>
      <c r="F173" s="33">
        <f>COUNTIF(PlanAktarılacakSayfa!C:C,E173)</f>
        <v>0</v>
      </c>
    </row>
    <row r="174" spans="2:6" x14ac:dyDescent="0.25">
      <c r="B174" t="s">
        <v>548</v>
      </c>
      <c r="C174" s="30">
        <f>COUNTIF(PlanAktarılacakSayfa!C:C,B174)</f>
        <v>0</v>
      </c>
      <c r="E174" t="s">
        <v>702</v>
      </c>
      <c r="F174" s="33">
        <f>COUNTIF(PlanAktarılacakSayfa!C:C,E174)</f>
        <v>0</v>
      </c>
    </row>
    <row r="175" spans="2:6" x14ac:dyDescent="0.25">
      <c r="B175" t="s">
        <v>549</v>
      </c>
      <c r="C175" s="30">
        <f>COUNTIF(PlanAktarılacakSayfa!C:C,B175)</f>
        <v>0</v>
      </c>
      <c r="E175" t="s">
        <v>703</v>
      </c>
      <c r="F175" s="33">
        <f>COUNTIF(PlanAktarılacakSayfa!C:C,E175)</f>
        <v>0</v>
      </c>
    </row>
    <row r="176" spans="2:6" x14ac:dyDescent="0.25">
      <c r="B176" t="s">
        <v>550</v>
      </c>
      <c r="C176" s="30">
        <f>COUNTIF(PlanAktarılacakSayfa!C:C,B176)</f>
        <v>0</v>
      </c>
      <c r="E176" t="s">
        <v>704</v>
      </c>
      <c r="F176" s="33">
        <f>COUNTIF(PlanAktarılacakSayfa!C:C,E176)</f>
        <v>0</v>
      </c>
    </row>
    <row r="177" spans="2:6" x14ac:dyDescent="0.25">
      <c r="B177" t="s">
        <v>551</v>
      </c>
      <c r="C177" s="30">
        <f>COUNTIF(PlanAktarılacakSayfa!C:C,B177)</f>
        <v>0</v>
      </c>
      <c r="E177" t="s">
        <v>705</v>
      </c>
      <c r="F177" s="33">
        <f>COUNTIF(PlanAktarılacakSayfa!C:C,E177)</f>
        <v>0</v>
      </c>
    </row>
    <row r="178" spans="2:6" x14ac:dyDescent="0.25">
      <c r="B178" t="s">
        <v>552</v>
      </c>
      <c r="C178" s="30">
        <f>COUNTIF(PlanAktarılacakSayfa!C:C,B178)</f>
        <v>0</v>
      </c>
      <c r="E178" t="s">
        <v>706</v>
      </c>
      <c r="F178" s="33">
        <f>COUNTIF(PlanAktarılacakSayfa!C:C,E178)</f>
        <v>0</v>
      </c>
    </row>
    <row r="179" spans="2:6" x14ac:dyDescent="0.25">
      <c r="B179" t="s">
        <v>553</v>
      </c>
      <c r="C179" s="30">
        <f>COUNTIF(PlanAktarılacakSayfa!C:C,B179)</f>
        <v>0</v>
      </c>
      <c r="E179" t="s">
        <v>707</v>
      </c>
      <c r="F179" s="33">
        <f>COUNTIF(PlanAktarılacakSayfa!C:C,E179)</f>
        <v>0</v>
      </c>
    </row>
    <row r="180" spans="2:6" x14ac:dyDescent="0.25">
      <c r="B180" t="s">
        <v>554</v>
      </c>
      <c r="C180" s="30">
        <f>COUNTIF(PlanAktarılacakSayfa!C:C,B180)</f>
        <v>0</v>
      </c>
      <c r="E180" t="s">
        <v>708</v>
      </c>
      <c r="F180" s="33">
        <f>COUNTIF(PlanAktarılacakSayfa!C:C,E180)</f>
        <v>0</v>
      </c>
    </row>
    <row r="181" spans="2:6" x14ac:dyDescent="0.25">
      <c r="B181" t="s">
        <v>555</v>
      </c>
      <c r="C181" s="30">
        <f>COUNTIF(PlanAktarılacakSayfa!C:C,B181)</f>
        <v>0</v>
      </c>
      <c r="E181" t="s">
        <v>709</v>
      </c>
      <c r="F181" s="33">
        <f>COUNTIF(PlanAktarılacakSayfa!C:C,E181)</f>
        <v>0</v>
      </c>
    </row>
    <row r="182" spans="2:6" x14ac:dyDescent="0.25">
      <c r="B182" t="s">
        <v>556</v>
      </c>
      <c r="C182" s="30">
        <f>COUNTIF(PlanAktarılacakSayfa!C:C,B182)</f>
        <v>0</v>
      </c>
      <c r="E182" t="s">
        <v>710</v>
      </c>
      <c r="F182" s="33">
        <f>COUNTIF(PlanAktarılacakSayfa!C:C,E182)</f>
        <v>0</v>
      </c>
    </row>
    <row r="183" spans="2:6" x14ac:dyDescent="0.25">
      <c r="B183" t="s">
        <v>557</v>
      </c>
      <c r="C183" s="30">
        <f>COUNTIF(PlanAktarılacakSayfa!C:C,B183)</f>
        <v>0</v>
      </c>
      <c r="E183" t="s">
        <v>711</v>
      </c>
      <c r="F183" s="33">
        <f>COUNTIF(PlanAktarılacakSayfa!C:C,E183)</f>
        <v>0</v>
      </c>
    </row>
    <row r="184" spans="2:6" x14ac:dyDescent="0.25">
      <c r="B184" t="s">
        <v>558</v>
      </c>
      <c r="C184" s="30">
        <f>COUNTIF(PlanAktarılacakSayfa!C:C,B184)</f>
        <v>0</v>
      </c>
      <c r="E184" t="s">
        <v>712</v>
      </c>
      <c r="F184" s="33">
        <f>COUNTIF(PlanAktarılacakSayfa!C:C,E184)</f>
        <v>0</v>
      </c>
    </row>
    <row r="185" spans="2:6" x14ac:dyDescent="0.25">
      <c r="B185" t="s">
        <v>559</v>
      </c>
      <c r="C185" s="30">
        <f>COUNTIF(PlanAktarılacakSayfa!C:C,B185)</f>
        <v>0</v>
      </c>
      <c r="E185" t="s">
        <v>713</v>
      </c>
      <c r="F185" s="33">
        <f>COUNTIF(PlanAktarılacakSayfa!C:C,E185)</f>
        <v>0</v>
      </c>
    </row>
    <row r="186" spans="2:6" x14ac:dyDescent="0.25">
      <c r="B186" t="s">
        <v>560</v>
      </c>
      <c r="C186" s="30">
        <f>COUNTIF(PlanAktarılacakSayfa!C:C,B186)</f>
        <v>0</v>
      </c>
      <c r="E186" t="s">
        <v>714</v>
      </c>
      <c r="F186" s="33">
        <f>COUNTIF(PlanAktarılacakSayfa!C:C,E186)</f>
        <v>0</v>
      </c>
    </row>
    <row r="187" spans="2:6" x14ac:dyDescent="0.25">
      <c r="B187" t="s">
        <v>561</v>
      </c>
      <c r="C187" s="30">
        <f>COUNTIF(PlanAktarılacakSayfa!C:C,B187)</f>
        <v>0</v>
      </c>
      <c r="E187" t="s">
        <v>715</v>
      </c>
      <c r="F187" s="33">
        <f>COUNTIF(PlanAktarılacakSayfa!C:C,E187)</f>
        <v>0</v>
      </c>
    </row>
    <row r="188" spans="2:6" x14ac:dyDescent="0.25">
      <c r="B188" t="s">
        <v>562</v>
      </c>
      <c r="C188" s="30">
        <f>COUNTIF(PlanAktarılacakSayfa!C:C,B188)</f>
        <v>0</v>
      </c>
      <c r="E188" t="s">
        <v>716</v>
      </c>
      <c r="F188" s="33">
        <f>COUNTIF(PlanAktarılacakSayfa!C:C,E188)</f>
        <v>0</v>
      </c>
    </row>
    <row r="189" spans="2:6" x14ac:dyDescent="0.25">
      <c r="B189" t="s">
        <v>563</v>
      </c>
      <c r="C189" s="30">
        <f>COUNTIF(PlanAktarılacakSayfa!C:C,B189)</f>
        <v>0</v>
      </c>
      <c r="E189" t="s">
        <v>717</v>
      </c>
      <c r="F189" s="33">
        <f>COUNTIF(PlanAktarılacakSayfa!C:C,E189)</f>
        <v>0</v>
      </c>
    </row>
    <row r="190" spans="2:6" x14ac:dyDescent="0.25">
      <c r="B190" t="s">
        <v>564</v>
      </c>
      <c r="C190" s="30">
        <f>COUNTIF(PlanAktarılacakSayfa!C:C,B190)</f>
        <v>0</v>
      </c>
      <c r="E190" t="s">
        <v>718</v>
      </c>
      <c r="F190" s="33">
        <f>COUNTIF(PlanAktarılacakSayfa!C:C,E190)</f>
        <v>0</v>
      </c>
    </row>
    <row r="191" spans="2:6" x14ac:dyDescent="0.25">
      <c r="B191" t="s">
        <v>565</v>
      </c>
      <c r="C191" s="30">
        <f>COUNTIF(PlanAktarılacakSayfa!C:C,B191)</f>
        <v>0</v>
      </c>
      <c r="E191" t="s">
        <v>719</v>
      </c>
      <c r="F191" s="33">
        <f>COUNTIF(PlanAktarılacakSayfa!C:C,E191)</f>
        <v>0</v>
      </c>
    </row>
    <row r="192" spans="2:6" x14ac:dyDescent="0.25">
      <c r="B192" t="s">
        <v>566</v>
      </c>
      <c r="C192" s="30">
        <f>COUNTIF(PlanAktarılacakSayfa!C:C,B192)</f>
        <v>0</v>
      </c>
      <c r="E192" t="s">
        <v>720</v>
      </c>
      <c r="F192" s="33">
        <f>COUNTIF(PlanAktarılacakSayfa!C:C,E192)</f>
        <v>0</v>
      </c>
    </row>
    <row r="193" spans="2:6" x14ac:dyDescent="0.25">
      <c r="B193" t="s">
        <v>567</v>
      </c>
      <c r="C193" s="30">
        <f>COUNTIF(PlanAktarılacakSayfa!C:C,B193)</f>
        <v>0</v>
      </c>
      <c r="E193" t="s">
        <v>721</v>
      </c>
      <c r="F193" s="33">
        <f>COUNTIF(PlanAktarılacakSayfa!C:C,E193)</f>
        <v>0</v>
      </c>
    </row>
    <row r="194" spans="2:6" x14ac:dyDescent="0.25">
      <c r="B194" t="s">
        <v>568</v>
      </c>
      <c r="C194" s="30">
        <f>COUNTIF(PlanAktarılacakSayfa!C:C,B194)</f>
        <v>0</v>
      </c>
      <c r="E194" t="s">
        <v>722</v>
      </c>
      <c r="F194" s="33">
        <f>COUNTIF(PlanAktarılacakSayfa!C:C,E194)</f>
        <v>0</v>
      </c>
    </row>
    <row r="195" spans="2:6" x14ac:dyDescent="0.25">
      <c r="B195" t="s">
        <v>569</v>
      </c>
      <c r="C195" s="30">
        <f>COUNTIF(PlanAktarılacakSayfa!C:C,B195)</f>
        <v>0</v>
      </c>
      <c r="E195" t="s">
        <v>723</v>
      </c>
      <c r="F195" s="33">
        <f>COUNTIF(PlanAktarılacakSayfa!C:C,E195)</f>
        <v>0</v>
      </c>
    </row>
    <row r="196" spans="2:6" x14ac:dyDescent="0.25">
      <c r="B196" t="s">
        <v>570</v>
      </c>
      <c r="C196" s="30">
        <f>COUNTIF(PlanAktarılacakSayfa!C:C,B196)</f>
        <v>0</v>
      </c>
      <c r="E196" t="s">
        <v>724</v>
      </c>
      <c r="F196" s="33">
        <f>COUNTIF(PlanAktarılacakSayfa!C:C,E196)</f>
        <v>0</v>
      </c>
    </row>
    <row r="197" spans="2:6" x14ac:dyDescent="0.25">
      <c r="B197" t="s">
        <v>571</v>
      </c>
      <c r="C197" s="30">
        <f>COUNTIF(PlanAktarılacakSayfa!C:C,B197)</f>
        <v>0</v>
      </c>
      <c r="E197" t="s">
        <v>725</v>
      </c>
      <c r="F197" s="33">
        <f>COUNTIF(PlanAktarılacakSayfa!C:C,E197)</f>
        <v>0</v>
      </c>
    </row>
    <row r="198" spans="2:6" x14ac:dyDescent="0.25">
      <c r="B198" t="s">
        <v>572</v>
      </c>
      <c r="C198" s="30">
        <f>COUNTIF(PlanAktarılacakSayfa!C:C,B198)</f>
        <v>0</v>
      </c>
      <c r="E198" t="s">
        <v>726</v>
      </c>
      <c r="F198" s="33">
        <f>COUNTIF(PlanAktarılacakSayfa!C:C,E198)</f>
        <v>0</v>
      </c>
    </row>
    <row r="199" spans="2:6" x14ac:dyDescent="0.25">
      <c r="B199" t="s">
        <v>573</v>
      </c>
      <c r="C199" s="30">
        <f>COUNTIF(PlanAktarılacakSayfa!C:C,B199)</f>
        <v>0</v>
      </c>
      <c r="E199" t="s">
        <v>727</v>
      </c>
      <c r="F199" s="33">
        <f>COUNTIF(PlanAktarılacakSayfa!C:C,E199)</f>
        <v>0</v>
      </c>
    </row>
    <row r="200" spans="2:6" x14ac:dyDescent="0.25">
      <c r="B200" t="s">
        <v>574</v>
      </c>
      <c r="C200" s="30">
        <f>COUNTIF(PlanAktarılacakSayfa!C:C,B200)</f>
        <v>0</v>
      </c>
      <c r="E200" t="s">
        <v>728</v>
      </c>
      <c r="F200" s="33">
        <f>COUNTIF(PlanAktarılacakSayfa!C:C,E200)</f>
        <v>0</v>
      </c>
    </row>
    <row r="201" spans="2:6" x14ac:dyDescent="0.25">
      <c r="B201" t="s">
        <v>575</v>
      </c>
      <c r="C201" s="30">
        <f>COUNTIF(PlanAktarılacakSayfa!C:C,B201)</f>
        <v>0</v>
      </c>
      <c r="E201" t="s">
        <v>729</v>
      </c>
      <c r="F201" s="33">
        <f>COUNTIF(PlanAktarılacakSayfa!C:C,E201)</f>
        <v>0</v>
      </c>
    </row>
    <row r="202" spans="2:6" x14ac:dyDescent="0.25">
      <c r="B202" t="s">
        <v>576</v>
      </c>
      <c r="C202" s="30">
        <f>COUNTIF(PlanAktarılacakSayfa!C:C,B202)</f>
        <v>0</v>
      </c>
      <c r="E202" t="s">
        <v>730</v>
      </c>
      <c r="F202" s="33">
        <f>COUNTIF(PlanAktarılacakSayfa!C:C,E202)</f>
        <v>0</v>
      </c>
    </row>
    <row r="203" spans="2:6" x14ac:dyDescent="0.25">
      <c r="C203" s="30">
        <f>COUNTIF(PlanAktarılacakSayfa!C:C,B203)</f>
        <v>0</v>
      </c>
      <c r="E203" t="s">
        <v>731</v>
      </c>
      <c r="F203" s="33">
        <f>COUNTIF(PlanAktarılacakSayfa!C:C,E203)</f>
        <v>0</v>
      </c>
    </row>
    <row r="204" spans="2:6" x14ac:dyDescent="0.25">
      <c r="C204" s="30">
        <f>COUNTIF(PlanAktarılacakSayfa!C:C,B204)</f>
        <v>0</v>
      </c>
      <c r="E204" t="s">
        <v>732</v>
      </c>
      <c r="F204" s="33">
        <f>COUNTIF(PlanAktarılacakSayfa!C:C,E204)</f>
        <v>0</v>
      </c>
    </row>
    <row r="205" spans="2:6" x14ac:dyDescent="0.25">
      <c r="C205" s="30">
        <f>COUNTIF(PlanAktarılacakSayfa!C:C,B205)</f>
        <v>0</v>
      </c>
      <c r="E205" t="s">
        <v>733</v>
      </c>
      <c r="F205" s="33">
        <f>COUNTIF(PlanAktarılacakSayfa!C:C,E205)</f>
        <v>0</v>
      </c>
    </row>
    <row r="206" spans="2:6" x14ac:dyDescent="0.25">
      <c r="C206" s="30">
        <f>COUNTIF(PlanAktarılacakSayfa!C:C,B206)</f>
        <v>0</v>
      </c>
      <c r="E206" t="s">
        <v>734</v>
      </c>
      <c r="F206" s="33">
        <f>COUNTIF(PlanAktarılacakSayfa!C:C,E206)</f>
        <v>0</v>
      </c>
    </row>
    <row r="207" spans="2:6" x14ac:dyDescent="0.25">
      <c r="C207" s="30">
        <f>COUNTIF(PlanAktarılacakSayfa!C:C,B207)</f>
        <v>0</v>
      </c>
      <c r="E207" t="s">
        <v>735</v>
      </c>
      <c r="F207" s="33">
        <f>COUNTIF(PlanAktarılacakSayfa!C:C,E207)</f>
        <v>0</v>
      </c>
    </row>
    <row r="208" spans="2:6" x14ac:dyDescent="0.25">
      <c r="C208" s="30">
        <f>COUNTIF(PlanAktarılacakSayfa!C:C,B208)</f>
        <v>0</v>
      </c>
      <c r="E208" t="s">
        <v>736</v>
      </c>
      <c r="F208" s="33">
        <f>COUNTIF(PlanAktarılacakSayfa!C:C,E208)</f>
        <v>0</v>
      </c>
    </row>
    <row r="209" spans="3:6" x14ac:dyDescent="0.25">
      <c r="C209" s="30">
        <f>COUNTIF(PlanAktarılacakSayfa!C:C,B209)</f>
        <v>0</v>
      </c>
      <c r="E209" t="s">
        <v>737</v>
      </c>
      <c r="F209" s="33">
        <f>COUNTIF(PlanAktarılacakSayfa!C:C,E209)</f>
        <v>0</v>
      </c>
    </row>
    <row r="210" spans="3:6" x14ac:dyDescent="0.25">
      <c r="C210" s="30">
        <f>COUNTIF(PlanAktarılacakSayfa!C:C,B210)</f>
        <v>0</v>
      </c>
      <c r="E210" t="s">
        <v>738</v>
      </c>
      <c r="F210" s="33">
        <f>COUNTIF(PlanAktarılacakSayfa!C:C,E210)</f>
        <v>0</v>
      </c>
    </row>
    <row r="211" spans="3:6" x14ac:dyDescent="0.25">
      <c r="C211" s="30">
        <f>COUNTIF(PlanAktarılacakSayfa!C:C,B211)</f>
        <v>0</v>
      </c>
      <c r="E211" t="s">
        <v>739</v>
      </c>
      <c r="F211" s="33">
        <f>COUNTIF(PlanAktarılacakSayfa!C:C,E211)</f>
        <v>0</v>
      </c>
    </row>
    <row r="212" spans="3:6" x14ac:dyDescent="0.25">
      <c r="C212" s="30">
        <f>COUNTIF(PlanAktarılacakSayfa!C:C,B212)</f>
        <v>0</v>
      </c>
      <c r="E212" t="s">
        <v>740</v>
      </c>
      <c r="F212" s="33">
        <f>COUNTIF(PlanAktarılacakSayfa!C:C,E212)</f>
        <v>0</v>
      </c>
    </row>
    <row r="213" spans="3:6" x14ac:dyDescent="0.25">
      <c r="C213" s="30">
        <f>COUNTIF(PlanAktarılacakSayfa!C:C,B213)</f>
        <v>0</v>
      </c>
      <c r="E213" t="s">
        <v>741</v>
      </c>
      <c r="F213" s="33">
        <f>COUNTIF(PlanAktarılacakSayfa!C:C,E213)</f>
        <v>0</v>
      </c>
    </row>
    <row r="214" spans="3:6" x14ac:dyDescent="0.25">
      <c r="C214" s="30">
        <f>COUNTIF(PlanAktarılacakSayfa!C:C,B214)</f>
        <v>0</v>
      </c>
      <c r="E214" t="s">
        <v>742</v>
      </c>
      <c r="F214" s="33">
        <f>COUNTIF(PlanAktarılacakSayfa!C:C,E214)</f>
        <v>0</v>
      </c>
    </row>
    <row r="215" spans="3:6" x14ac:dyDescent="0.25">
      <c r="C215" s="30">
        <f>COUNTIF(PlanAktarılacakSayfa!C:C,B215)</f>
        <v>0</v>
      </c>
      <c r="E215" t="s">
        <v>743</v>
      </c>
      <c r="F215" s="33">
        <f>COUNTIF(PlanAktarılacakSayfa!C:C,E215)</f>
        <v>0</v>
      </c>
    </row>
    <row r="216" spans="3:6" x14ac:dyDescent="0.25">
      <c r="C216" s="30">
        <f>COUNTIF(PlanAktarılacakSayfa!C:C,B216)</f>
        <v>0</v>
      </c>
      <c r="E216" t="s">
        <v>744</v>
      </c>
      <c r="F216" s="33">
        <f>COUNTIF(PlanAktarılacakSayfa!C:C,E216)</f>
        <v>0</v>
      </c>
    </row>
    <row r="217" spans="3:6" x14ac:dyDescent="0.25">
      <c r="C217" s="30">
        <f>COUNTIF(PlanAktarılacakSayfa!C:C,B217)</f>
        <v>0</v>
      </c>
      <c r="E217" t="s">
        <v>745</v>
      </c>
      <c r="F217" s="33">
        <f>COUNTIF(PlanAktarılacakSayfa!C:C,E217)</f>
        <v>0</v>
      </c>
    </row>
    <row r="218" spans="3:6" x14ac:dyDescent="0.25">
      <c r="C218" s="30">
        <f>COUNTIF(PlanAktarılacakSayfa!C:C,B218)</f>
        <v>0</v>
      </c>
      <c r="E218" t="s">
        <v>746</v>
      </c>
      <c r="F218" s="33">
        <f>COUNTIF(PlanAktarılacakSayfa!C:C,E218)</f>
        <v>0</v>
      </c>
    </row>
    <row r="219" spans="3:6" x14ac:dyDescent="0.25">
      <c r="C219" s="30">
        <f>COUNTIF(PlanAktarılacakSayfa!C:C,B219)</f>
        <v>0</v>
      </c>
      <c r="E219" s="1" t="s">
        <v>747</v>
      </c>
      <c r="F219" s="33">
        <f>COUNTIF(PlanAktarılacakSayfa!C:C,E219)</f>
        <v>0</v>
      </c>
    </row>
    <row r="220" spans="3:6" x14ac:dyDescent="0.25">
      <c r="C220" s="30">
        <f>COUNTIF(PlanAktarılacakSayfa!C:C,B220)</f>
        <v>0</v>
      </c>
      <c r="E220" s="1" t="s">
        <v>748</v>
      </c>
      <c r="F220" s="33">
        <f>COUNTIF(PlanAktarılacakSayfa!C:C,E220)</f>
        <v>0</v>
      </c>
    </row>
    <row r="221" spans="3:6" x14ac:dyDescent="0.25">
      <c r="C221" s="30">
        <f>COUNTIF(PlanAktarılacakSayfa!C:C,B221)</f>
        <v>0</v>
      </c>
      <c r="E221" s="1" t="s">
        <v>749</v>
      </c>
      <c r="F221" s="33">
        <f>COUNTIF(PlanAktarılacakSayfa!C:C,E221)</f>
        <v>0</v>
      </c>
    </row>
    <row r="222" spans="3:6" x14ac:dyDescent="0.25">
      <c r="C222" s="30">
        <f>COUNTIF(PlanAktarılacakSayfa!C:C,B222)</f>
        <v>0</v>
      </c>
      <c r="E222" s="1" t="s">
        <v>750</v>
      </c>
      <c r="F222" s="33">
        <f>COUNTIF(PlanAktarılacakSayfa!C:C,E222)</f>
        <v>0</v>
      </c>
    </row>
    <row r="223" spans="3:6" x14ac:dyDescent="0.25">
      <c r="C223" s="30">
        <f>COUNTIF(PlanAktarılacakSayfa!C:C,B223)</f>
        <v>0</v>
      </c>
      <c r="E223" s="1" t="s">
        <v>751</v>
      </c>
      <c r="F223" s="33">
        <f>COUNTIF(PlanAktarılacakSayfa!C:C,E223)</f>
        <v>0</v>
      </c>
    </row>
    <row r="224" spans="3:6" x14ac:dyDescent="0.25">
      <c r="C224" s="30">
        <f>COUNTIF(PlanAktarılacakSayfa!C:C,B224)</f>
        <v>0</v>
      </c>
      <c r="E224" t="s">
        <v>752</v>
      </c>
      <c r="F224" s="33">
        <f>COUNTIF(PlanAktarılacakSayfa!C:C,E224)</f>
        <v>0</v>
      </c>
    </row>
    <row r="225" spans="3:6" x14ac:dyDescent="0.25">
      <c r="C225" s="30">
        <f>COUNTIF(PlanAktarılacakSayfa!C:C,B225)</f>
        <v>0</v>
      </c>
      <c r="E225" t="s">
        <v>753</v>
      </c>
      <c r="F225" s="33">
        <f>COUNTIF(PlanAktarılacakSayfa!C:C,E225)</f>
        <v>0</v>
      </c>
    </row>
    <row r="226" spans="3:6" x14ac:dyDescent="0.25">
      <c r="C226" s="30">
        <f>COUNTIF(PlanAktarılacakSayfa!C:C,B226)</f>
        <v>0</v>
      </c>
      <c r="E226" t="s">
        <v>754</v>
      </c>
      <c r="F226" s="33">
        <f>COUNTIF(PlanAktarılacakSayfa!C:C,E226)</f>
        <v>0</v>
      </c>
    </row>
    <row r="227" spans="3:6" x14ac:dyDescent="0.25">
      <c r="C227" s="30">
        <f>COUNTIF(PlanAktarılacakSayfa!C:C,B227)</f>
        <v>0</v>
      </c>
      <c r="E227" t="s">
        <v>755</v>
      </c>
      <c r="F227" s="33">
        <f>COUNTIF(PlanAktarılacakSayfa!C:C,E227)</f>
        <v>0</v>
      </c>
    </row>
    <row r="228" spans="3:6" x14ac:dyDescent="0.25">
      <c r="C228" s="30">
        <f>COUNTIF(PlanAktarılacakSayfa!C:C,B228)</f>
        <v>0</v>
      </c>
      <c r="E228" t="s">
        <v>756</v>
      </c>
      <c r="F228" s="33">
        <f>COUNTIF(PlanAktarılacakSayfa!C:C,E228)</f>
        <v>0</v>
      </c>
    </row>
    <row r="229" spans="3:6" x14ac:dyDescent="0.25">
      <c r="C229" s="30">
        <f>COUNTIF(PlanAktarılacakSayfa!C:C,B229)</f>
        <v>0</v>
      </c>
      <c r="E229" t="s">
        <v>757</v>
      </c>
      <c r="F229" s="33">
        <f>COUNTIF(PlanAktarılacakSayfa!C:C,E229)</f>
        <v>0</v>
      </c>
    </row>
    <row r="230" spans="3:6" x14ac:dyDescent="0.25">
      <c r="C230" s="30">
        <f>COUNTIF(PlanAktarılacakSayfa!C:C,B230)</f>
        <v>0</v>
      </c>
      <c r="E230" t="s">
        <v>758</v>
      </c>
      <c r="F230" s="33">
        <f>COUNTIF(PlanAktarılacakSayfa!C:C,E230)</f>
        <v>0</v>
      </c>
    </row>
    <row r="231" spans="3:6" x14ac:dyDescent="0.25">
      <c r="C231" s="30">
        <f>COUNTIF(PlanAktarılacakSayfa!C:C,B231)</f>
        <v>0</v>
      </c>
      <c r="E231" t="s">
        <v>759</v>
      </c>
      <c r="F231" s="33">
        <f>COUNTIF(PlanAktarılacakSayfa!C:C,E231)</f>
        <v>0</v>
      </c>
    </row>
    <row r="232" spans="3:6" x14ac:dyDescent="0.25">
      <c r="C232" s="30">
        <f>COUNTIF(PlanAktarılacakSayfa!C:C,B232)</f>
        <v>0</v>
      </c>
      <c r="E232" t="s">
        <v>760</v>
      </c>
      <c r="F232" s="33">
        <f>COUNTIF(PlanAktarılacakSayfa!C:C,E232)</f>
        <v>0</v>
      </c>
    </row>
    <row r="233" spans="3:6" x14ac:dyDescent="0.25">
      <c r="C233" s="30">
        <f>COUNTIF(PlanAktarılacakSayfa!C:C,B233)</f>
        <v>0</v>
      </c>
      <c r="E233" t="s">
        <v>761</v>
      </c>
      <c r="F233" s="33">
        <f>COUNTIF(PlanAktarılacakSayfa!C:C,E233)</f>
        <v>0</v>
      </c>
    </row>
    <row r="234" spans="3:6" x14ac:dyDescent="0.25">
      <c r="C234" s="30">
        <f>COUNTIF(PlanAktarılacakSayfa!C:C,B234)</f>
        <v>0</v>
      </c>
      <c r="E234" t="s">
        <v>762</v>
      </c>
      <c r="F234" s="33">
        <f>COUNTIF(PlanAktarılacakSayfa!C:C,E234)</f>
        <v>0</v>
      </c>
    </row>
    <row r="235" spans="3:6" x14ac:dyDescent="0.25">
      <c r="C235" s="30">
        <f>COUNTIF(PlanAktarılacakSayfa!C:C,B235)</f>
        <v>0</v>
      </c>
      <c r="E235" t="s">
        <v>763</v>
      </c>
      <c r="F235" s="33">
        <f>COUNTIF(PlanAktarılacakSayfa!C:C,E235)</f>
        <v>0</v>
      </c>
    </row>
    <row r="236" spans="3:6" x14ac:dyDescent="0.25">
      <c r="C236" s="30">
        <f>COUNTIF(PlanAktarılacakSayfa!C:C,B236)</f>
        <v>0</v>
      </c>
      <c r="E236" t="s">
        <v>764</v>
      </c>
      <c r="F236" s="33">
        <f>COUNTIF(PlanAktarılacakSayfa!C:C,E236)</f>
        <v>0</v>
      </c>
    </row>
    <row r="237" spans="3:6" x14ac:dyDescent="0.25">
      <c r="C237" s="30">
        <f>COUNTIF(PlanAktarılacakSayfa!C:C,B237)</f>
        <v>0</v>
      </c>
      <c r="E237" s="1" t="s">
        <v>765</v>
      </c>
      <c r="F237" s="33">
        <f>COUNTIF(PlanAktarılacakSayfa!C:C,E237)</f>
        <v>0</v>
      </c>
    </row>
    <row r="238" spans="3:6" x14ac:dyDescent="0.25">
      <c r="C238" s="30">
        <f>COUNTIF(PlanAktarılacakSayfa!C:C,B238)</f>
        <v>0</v>
      </c>
      <c r="E238" t="s">
        <v>766</v>
      </c>
      <c r="F238" s="33">
        <f>COUNTIF(PlanAktarılacakSayfa!C:C,E238)</f>
        <v>0</v>
      </c>
    </row>
    <row r="239" spans="3:6" x14ac:dyDescent="0.25">
      <c r="C239" s="30">
        <f>COUNTIF(PlanAktarılacakSayfa!C:C,B239)</f>
        <v>0</v>
      </c>
      <c r="E239" t="s">
        <v>767</v>
      </c>
      <c r="F239" s="33">
        <f>COUNTIF(PlanAktarılacakSayfa!C:C,E239)</f>
        <v>0</v>
      </c>
    </row>
    <row r="240" spans="3:6" x14ac:dyDescent="0.25">
      <c r="C240" s="30">
        <f>COUNTIF(PlanAktarılacakSayfa!C:C,B240)</f>
        <v>0</v>
      </c>
      <c r="E240" t="s">
        <v>768</v>
      </c>
      <c r="F240" s="33">
        <f>COUNTIF(PlanAktarılacakSayfa!C:C,E240)</f>
        <v>0</v>
      </c>
    </row>
    <row r="241" spans="3:6" x14ac:dyDescent="0.25">
      <c r="C241" s="30">
        <f>COUNTIF(PlanAktarılacakSayfa!C:C,B241)</f>
        <v>0</v>
      </c>
      <c r="E241" t="s">
        <v>769</v>
      </c>
      <c r="F241" s="33">
        <f>COUNTIF(PlanAktarılacakSayfa!C:C,E241)</f>
        <v>0</v>
      </c>
    </row>
    <row r="242" spans="3:6" x14ac:dyDescent="0.25">
      <c r="C242" s="30">
        <f>COUNTIF(PlanAktarılacakSayfa!C:C,B242)</f>
        <v>0</v>
      </c>
      <c r="E242" t="s">
        <v>770</v>
      </c>
      <c r="F242" s="33">
        <f>COUNTIF(PlanAktarılacakSayfa!C:C,E242)</f>
        <v>0</v>
      </c>
    </row>
    <row r="243" spans="3:6" x14ac:dyDescent="0.25">
      <c r="C243" s="30">
        <f>COUNTIF(PlanAktarılacakSayfa!C:C,B243)</f>
        <v>0</v>
      </c>
      <c r="E243" t="s">
        <v>771</v>
      </c>
      <c r="F243" s="33">
        <f>COUNTIF(PlanAktarılacakSayfa!C:C,E243)</f>
        <v>0</v>
      </c>
    </row>
    <row r="244" spans="3:6" x14ac:dyDescent="0.25">
      <c r="C244" s="30">
        <f>COUNTIF(PlanAktarılacakSayfa!C:C,B244)</f>
        <v>0</v>
      </c>
      <c r="E244" t="s">
        <v>772</v>
      </c>
      <c r="F244" s="33">
        <f>COUNTIF(PlanAktarılacakSayfa!C:C,E244)</f>
        <v>0</v>
      </c>
    </row>
    <row r="245" spans="3:6" x14ac:dyDescent="0.25">
      <c r="C245" s="30">
        <f>COUNTIF(PlanAktarılacakSayfa!C:C,B245)</f>
        <v>0</v>
      </c>
      <c r="E245" t="s">
        <v>773</v>
      </c>
      <c r="F245" s="33">
        <f>COUNTIF(PlanAktarılacakSayfa!C:C,E245)</f>
        <v>0</v>
      </c>
    </row>
    <row r="246" spans="3:6" x14ac:dyDescent="0.25">
      <c r="C246" s="30">
        <f>COUNTIF(PlanAktarılacakSayfa!C:C,B246)</f>
        <v>0</v>
      </c>
      <c r="E246" t="s">
        <v>774</v>
      </c>
      <c r="F246" s="33">
        <f>COUNTIF(PlanAktarılacakSayfa!C:C,E246)</f>
        <v>0</v>
      </c>
    </row>
    <row r="247" spans="3:6" x14ac:dyDescent="0.25">
      <c r="C247" s="30">
        <f>COUNTIF(PlanAktarılacakSayfa!C:C,B247)</f>
        <v>0</v>
      </c>
      <c r="E247" t="s">
        <v>775</v>
      </c>
      <c r="F247" s="33">
        <f>COUNTIF(PlanAktarılacakSayfa!C:C,E247)</f>
        <v>0</v>
      </c>
    </row>
    <row r="248" spans="3:6" x14ac:dyDescent="0.25">
      <c r="C248" s="30">
        <f>COUNTIF(PlanAktarılacakSayfa!C:C,B248)</f>
        <v>0</v>
      </c>
      <c r="E248" t="s">
        <v>776</v>
      </c>
      <c r="F248" s="33">
        <f>COUNTIF(PlanAktarılacakSayfa!C:C,E248)</f>
        <v>0</v>
      </c>
    </row>
    <row r="249" spans="3:6" x14ac:dyDescent="0.25">
      <c r="C249" s="30">
        <f>COUNTIF(PlanAktarılacakSayfa!C:C,B249)</f>
        <v>0</v>
      </c>
      <c r="E249" t="s">
        <v>777</v>
      </c>
      <c r="F249" s="33">
        <f>COUNTIF(PlanAktarılacakSayfa!C:C,E249)</f>
        <v>0</v>
      </c>
    </row>
    <row r="250" spans="3:6" x14ac:dyDescent="0.25">
      <c r="C250" s="30">
        <f>COUNTIF(PlanAktarılacakSayfa!C:C,B250)</f>
        <v>0</v>
      </c>
      <c r="E250" t="s">
        <v>778</v>
      </c>
      <c r="F250" s="33">
        <f>COUNTIF(PlanAktarılacakSayfa!C:C,E250)</f>
        <v>0</v>
      </c>
    </row>
    <row r="251" spans="3:6" x14ac:dyDescent="0.25">
      <c r="C251" s="30">
        <f>COUNTIF(PlanAktarılacakSayfa!C:C,B251)</f>
        <v>0</v>
      </c>
      <c r="E251" t="s">
        <v>779</v>
      </c>
      <c r="F251" s="33">
        <f>COUNTIF(PlanAktarılacakSayfa!C:C,E251)</f>
        <v>0</v>
      </c>
    </row>
    <row r="252" spans="3:6" x14ac:dyDescent="0.25">
      <c r="C252" s="30">
        <f>COUNTIF(PlanAktarılacakSayfa!C:C,B252)</f>
        <v>0</v>
      </c>
      <c r="E252" t="s">
        <v>780</v>
      </c>
      <c r="F252" s="33">
        <f>COUNTIF(PlanAktarılacakSayfa!C:C,E252)</f>
        <v>0</v>
      </c>
    </row>
    <row r="253" spans="3:6" x14ac:dyDescent="0.25">
      <c r="C253" s="30">
        <f>COUNTIF(PlanAktarılacakSayfa!C:C,B253)</f>
        <v>0</v>
      </c>
      <c r="E253" t="s">
        <v>781</v>
      </c>
      <c r="F253" s="33">
        <f>COUNTIF(PlanAktarılacakSayfa!C:C,E253)</f>
        <v>0</v>
      </c>
    </row>
    <row r="254" spans="3:6" x14ac:dyDescent="0.25">
      <c r="C254" s="30">
        <f>COUNTIF(PlanAktarılacakSayfa!C:C,B254)</f>
        <v>0</v>
      </c>
      <c r="E254" t="s">
        <v>782</v>
      </c>
      <c r="F254" s="33">
        <f>COUNTIF(PlanAktarılacakSayfa!C:C,E254)</f>
        <v>0</v>
      </c>
    </row>
    <row r="255" spans="3:6" x14ac:dyDescent="0.25">
      <c r="C255" s="30">
        <f>COUNTIF(PlanAktarılacakSayfa!C:C,B255)</f>
        <v>0</v>
      </c>
      <c r="E255" t="s">
        <v>783</v>
      </c>
      <c r="F255" s="33">
        <f>COUNTIF(PlanAktarılacakSayfa!C:C,E255)</f>
        <v>0</v>
      </c>
    </row>
    <row r="256" spans="3:6" x14ac:dyDescent="0.25">
      <c r="C256" s="30">
        <f>COUNTIF(PlanAktarılacakSayfa!C:C,B256)</f>
        <v>0</v>
      </c>
      <c r="E256" t="s">
        <v>784</v>
      </c>
      <c r="F256" s="33">
        <f>COUNTIF(PlanAktarılacakSayfa!C:C,E256)</f>
        <v>0</v>
      </c>
    </row>
    <row r="257" spans="3:6" x14ac:dyDescent="0.25">
      <c r="C257" s="30">
        <f>COUNTIF(PlanAktarılacakSayfa!C:C,B257)</f>
        <v>0</v>
      </c>
      <c r="E257" t="s">
        <v>785</v>
      </c>
      <c r="F257" s="33">
        <f>COUNTIF(PlanAktarılacakSayfa!C:C,E257)</f>
        <v>0</v>
      </c>
    </row>
    <row r="258" spans="3:6" x14ac:dyDescent="0.25">
      <c r="C258" s="30">
        <f>COUNTIF(PlanAktarılacakSayfa!C:C,B258)</f>
        <v>0</v>
      </c>
      <c r="E258" t="s">
        <v>786</v>
      </c>
      <c r="F258" s="33">
        <f>COUNTIF(PlanAktarılacakSayfa!C:C,E258)</f>
        <v>0</v>
      </c>
    </row>
    <row r="259" spans="3:6" x14ac:dyDescent="0.25">
      <c r="C259" s="30">
        <f>COUNTIF(PlanAktarılacakSayfa!C:C,B259)</f>
        <v>0</v>
      </c>
      <c r="E259" t="s">
        <v>787</v>
      </c>
      <c r="F259" s="33">
        <f>COUNTIF(PlanAktarılacakSayfa!C:C,E259)</f>
        <v>0</v>
      </c>
    </row>
    <row r="260" spans="3:6" x14ac:dyDescent="0.25">
      <c r="C260" s="30">
        <f>COUNTIF(PlanAktarılacakSayfa!C:C,B260)</f>
        <v>0</v>
      </c>
      <c r="E260" t="s">
        <v>788</v>
      </c>
      <c r="F260" s="33">
        <f>COUNTIF(PlanAktarılacakSayfa!C:C,E260)</f>
        <v>0</v>
      </c>
    </row>
    <row r="261" spans="3:6" x14ac:dyDescent="0.25">
      <c r="C261" s="30">
        <f>COUNTIF(PlanAktarılacakSayfa!C:C,B261)</f>
        <v>0</v>
      </c>
      <c r="E261" t="s">
        <v>789</v>
      </c>
      <c r="F261" s="33">
        <f>COUNTIF(PlanAktarılacakSayfa!C:C,E261)</f>
        <v>0</v>
      </c>
    </row>
    <row r="262" spans="3:6" x14ac:dyDescent="0.25">
      <c r="C262" s="30">
        <f>COUNTIF(PlanAktarılacakSayfa!C:C,B262)</f>
        <v>0</v>
      </c>
      <c r="E262" t="s">
        <v>790</v>
      </c>
      <c r="F262" s="33">
        <f>COUNTIF(PlanAktarılacakSayfa!C:C,E262)</f>
        <v>0</v>
      </c>
    </row>
    <row r="263" spans="3:6" x14ac:dyDescent="0.25">
      <c r="C263" s="30">
        <f>COUNTIF(PlanAktarılacakSayfa!C:C,B263)</f>
        <v>0</v>
      </c>
      <c r="E263" t="s">
        <v>791</v>
      </c>
      <c r="F263" s="33">
        <f>COUNTIF(PlanAktarılacakSayfa!C:C,E263)</f>
        <v>0</v>
      </c>
    </row>
    <row r="264" spans="3:6" x14ac:dyDescent="0.25">
      <c r="C264" s="30">
        <f>COUNTIF(PlanAktarılacakSayfa!C:C,B264)</f>
        <v>0</v>
      </c>
      <c r="E264" t="s">
        <v>792</v>
      </c>
      <c r="F264" s="33">
        <f>COUNTIF(PlanAktarılacakSayfa!C:C,E264)</f>
        <v>0</v>
      </c>
    </row>
    <row r="265" spans="3:6" x14ac:dyDescent="0.25">
      <c r="C265" s="30">
        <f>COUNTIF(PlanAktarılacakSayfa!C:C,B265)</f>
        <v>0</v>
      </c>
      <c r="E265" t="s">
        <v>793</v>
      </c>
      <c r="F265" s="33">
        <f>COUNTIF(PlanAktarılacakSayfa!C:C,E265)</f>
        <v>0</v>
      </c>
    </row>
    <row r="266" spans="3:6" x14ac:dyDescent="0.25">
      <c r="C266" s="30">
        <f>COUNTIF(PlanAktarılacakSayfa!C:C,B266)</f>
        <v>0</v>
      </c>
      <c r="E266" t="s">
        <v>794</v>
      </c>
      <c r="F266" s="33">
        <f>COUNTIF(PlanAktarılacakSayfa!C:C,E266)</f>
        <v>0</v>
      </c>
    </row>
    <row r="267" spans="3:6" x14ac:dyDescent="0.25">
      <c r="C267" s="30">
        <f>COUNTIF(PlanAktarılacakSayfa!C:C,B267)</f>
        <v>0</v>
      </c>
      <c r="E267" t="s">
        <v>795</v>
      </c>
      <c r="F267" s="33">
        <f>COUNTIF(PlanAktarılacakSayfa!C:C,E267)</f>
        <v>0</v>
      </c>
    </row>
    <row r="268" spans="3:6" x14ac:dyDescent="0.25">
      <c r="C268" s="30">
        <f>COUNTIF(PlanAktarılacakSayfa!C:C,B268)</f>
        <v>0</v>
      </c>
      <c r="E268" t="s">
        <v>796</v>
      </c>
      <c r="F268" s="33">
        <f>COUNTIF(PlanAktarılacakSayfa!C:C,E268)</f>
        <v>0</v>
      </c>
    </row>
    <row r="269" spans="3:6" x14ac:dyDescent="0.25">
      <c r="C269" s="30">
        <f>COUNTIF(PlanAktarılacakSayfa!C:C,B269)</f>
        <v>0</v>
      </c>
      <c r="E269" t="s">
        <v>797</v>
      </c>
      <c r="F269" s="33">
        <f>COUNTIF(PlanAktarılacakSayfa!C:C,E269)</f>
        <v>0</v>
      </c>
    </row>
    <row r="270" spans="3:6" x14ac:dyDescent="0.25">
      <c r="C270" s="30">
        <f>COUNTIF(PlanAktarılacakSayfa!C:C,B270)</f>
        <v>0</v>
      </c>
      <c r="E270" t="s">
        <v>798</v>
      </c>
      <c r="F270" s="33">
        <f>COUNTIF(PlanAktarılacakSayfa!C:C,E270)</f>
        <v>0</v>
      </c>
    </row>
    <row r="271" spans="3:6" x14ac:dyDescent="0.25">
      <c r="C271" s="30">
        <f>COUNTIF(PlanAktarılacakSayfa!C:C,B271)</f>
        <v>0</v>
      </c>
      <c r="E271" t="s">
        <v>799</v>
      </c>
      <c r="F271" s="33">
        <f>COUNTIF(PlanAktarılacakSayfa!C:C,E271)</f>
        <v>0</v>
      </c>
    </row>
    <row r="272" spans="3:6" x14ac:dyDescent="0.25">
      <c r="C272" s="30">
        <f>COUNTIF(PlanAktarılacakSayfa!C:C,B272)</f>
        <v>0</v>
      </c>
      <c r="E272" t="s">
        <v>800</v>
      </c>
      <c r="F272" s="33">
        <f>COUNTIF(PlanAktarılacakSayfa!C:C,E272)</f>
        <v>0</v>
      </c>
    </row>
    <row r="273" spans="3:6" x14ac:dyDescent="0.25">
      <c r="C273" s="30">
        <f>COUNTIF(PlanAktarılacakSayfa!C:C,B273)</f>
        <v>0</v>
      </c>
      <c r="E273" t="s">
        <v>801</v>
      </c>
      <c r="F273" s="33">
        <f>COUNTIF(PlanAktarılacakSayfa!C:C,E273)</f>
        <v>0</v>
      </c>
    </row>
    <row r="274" spans="3:6" x14ac:dyDescent="0.25">
      <c r="C274" s="30">
        <f>COUNTIF(PlanAktarılacakSayfa!C:C,B274)</f>
        <v>0</v>
      </c>
      <c r="E274" t="s">
        <v>802</v>
      </c>
      <c r="F274" s="33">
        <f>COUNTIF(PlanAktarılacakSayfa!C:C,E274)</f>
        <v>0</v>
      </c>
    </row>
    <row r="275" spans="3:6" x14ac:dyDescent="0.25">
      <c r="C275" s="30">
        <f>COUNTIF(PlanAktarılacakSayfa!C:C,B275)</f>
        <v>0</v>
      </c>
      <c r="E275" t="s">
        <v>803</v>
      </c>
      <c r="F275" s="33">
        <f>COUNTIF(PlanAktarılacakSayfa!C:C,E275)</f>
        <v>0</v>
      </c>
    </row>
    <row r="276" spans="3:6" x14ac:dyDescent="0.25">
      <c r="C276" s="30">
        <f>COUNTIF(PlanAktarılacakSayfa!C:C,B276)</f>
        <v>0</v>
      </c>
      <c r="E276" t="s">
        <v>804</v>
      </c>
      <c r="F276" s="33">
        <f>COUNTIF(PlanAktarılacakSayfa!C:C,E276)</f>
        <v>0</v>
      </c>
    </row>
    <row r="277" spans="3:6" x14ac:dyDescent="0.25">
      <c r="C277" s="30">
        <f>COUNTIF(PlanAktarılacakSayfa!C:C,B277)</f>
        <v>0</v>
      </c>
      <c r="E277" t="s">
        <v>805</v>
      </c>
      <c r="F277" s="33">
        <f>COUNTIF(PlanAktarılacakSayfa!C:C,E277)</f>
        <v>0</v>
      </c>
    </row>
    <row r="278" spans="3:6" x14ac:dyDescent="0.25">
      <c r="C278" s="30">
        <f>COUNTIF(PlanAktarılacakSayfa!C:C,B278)</f>
        <v>0</v>
      </c>
      <c r="E278" t="s">
        <v>806</v>
      </c>
      <c r="F278" s="33">
        <f>COUNTIF(PlanAktarılacakSayfa!C:C,E278)</f>
        <v>0</v>
      </c>
    </row>
    <row r="279" spans="3:6" x14ac:dyDescent="0.25">
      <c r="C279" s="30">
        <f>COUNTIF(PlanAktarılacakSayfa!C:C,B279)</f>
        <v>0</v>
      </c>
      <c r="E279" t="s">
        <v>807</v>
      </c>
      <c r="F279" s="33">
        <f>COUNTIF(PlanAktarılacakSayfa!C:C,E279)</f>
        <v>0</v>
      </c>
    </row>
    <row r="280" spans="3:6" x14ac:dyDescent="0.25">
      <c r="C280" s="30">
        <f>COUNTIF(PlanAktarılacakSayfa!C:C,B280)</f>
        <v>0</v>
      </c>
      <c r="E280" t="s">
        <v>808</v>
      </c>
      <c r="F280" s="33">
        <f>COUNTIF(PlanAktarılacakSayfa!C:C,E280)</f>
        <v>0</v>
      </c>
    </row>
    <row r="281" spans="3:6" x14ac:dyDescent="0.25">
      <c r="C281" s="30">
        <f>COUNTIF(PlanAktarılacakSayfa!C:C,B281)</f>
        <v>0</v>
      </c>
      <c r="E281" t="s">
        <v>809</v>
      </c>
      <c r="F281" s="33">
        <f>COUNTIF(PlanAktarılacakSayfa!C:C,E281)</f>
        <v>0</v>
      </c>
    </row>
    <row r="282" spans="3:6" x14ac:dyDescent="0.25">
      <c r="C282" s="30">
        <f>COUNTIF(PlanAktarılacakSayfa!C:C,B282)</f>
        <v>0</v>
      </c>
      <c r="E282" t="s">
        <v>810</v>
      </c>
      <c r="F282" s="33">
        <f>COUNTIF(PlanAktarılacakSayfa!C:C,E282)</f>
        <v>0</v>
      </c>
    </row>
    <row r="283" spans="3:6" x14ac:dyDescent="0.25">
      <c r="C283" s="30">
        <f>COUNTIF(PlanAktarılacakSayfa!C:C,B283)</f>
        <v>0</v>
      </c>
      <c r="E283" s="1" t="s">
        <v>811</v>
      </c>
      <c r="F283" s="33">
        <f>COUNTIF(PlanAktarılacakSayfa!C:C,E283)</f>
        <v>0</v>
      </c>
    </row>
    <row r="284" spans="3:6" x14ac:dyDescent="0.25">
      <c r="C284" s="30">
        <f>COUNTIF(PlanAktarılacakSayfa!C:C,B284)</f>
        <v>0</v>
      </c>
      <c r="E284" s="1" t="s">
        <v>812</v>
      </c>
      <c r="F284" s="33">
        <f>COUNTIF(PlanAktarılacakSayfa!C:C,E284)</f>
        <v>0</v>
      </c>
    </row>
    <row r="285" spans="3:6" x14ac:dyDescent="0.25">
      <c r="C285" s="30">
        <f>COUNTIF(PlanAktarılacakSayfa!C:C,B285)</f>
        <v>0</v>
      </c>
      <c r="E285" s="1" t="s">
        <v>813</v>
      </c>
      <c r="F285" s="33">
        <f>COUNTIF(PlanAktarılacakSayfa!C:C,E285)</f>
        <v>0</v>
      </c>
    </row>
    <row r="286" spans="3:6" x14ac:dyDescent="0.25">
      <c r="C286" s="30">
        <f>COUNTIF(PlanAktarılacakSayfa!C:C,B286)</f>
        <v>0</v>
      </c>
      <c r="E286" s="1" t="s">
        <v>814</v>
      </c>
      <c r="F286" s="33">
        <f>COUNTIF(PlanAktarılacakSayfa!C:C,E286)</f>
        <v>0</v>
      </c>
    </row>
    <row r="287" spans="3:6" x14ac:dyDescent="0.25">
      <c r="C287" s="30">
        <f>COUNTIF(PlanAktarılacakSayfa!C:C,B287)</f>
        <v>0</v>
      </c>
      <c r="E287" s="1" t="s">
        <v>815</v>
      </c>
      <c r="F287" s="33">
        <f>COUNTIF(PlanAktarılacakSayfa!C:C,E287)</f>
        <v>0</v>
      </c>
    </row>
    <row r="288" spans="3:6" x14ac:dyDescent="0.25">
      <c r="C288" s="30">
        <f>COUNTIF(PlanAktarılacakSayfa!C:C,B288)</f>
        <v>0</v>
      </c>
      <c r="E288" t="s">
        <v>816</v>
      </c>
      <c r="F288" s="33">
        <f>COUNTIF(PlanAktarılacakSayfa!C:C,E288)</f>
        <v>0</v>
      </c>
    </row>
    <row r="289" spans="3:6" x14ac:dyDescent="0.25">
      <c r="C289" s="30">
        <f>COUNTIF(PlanAktarılacakSayfa!C:C,B289)</f>
        <v>0</v>
      </c>
      <c r="E289" t="s">
        <v>817</v>
      </c>
      <c r="F289" s="33">
        <f>COUNTIF(PlanAktarılacakSayfa!C:C,E289)</f>
        <v>0</v>
      </c>
    </row>
    <row r="290" spans="3:6" x14ac:dyDescent="0.25">
      <c r="C290" s="30">
        <f>COUNTIF(PlanAktarılacakSayfa!C:C,B290)</f>
        <v>0</v>
      </c>
      <c r="E290" t="s">
        <v>818</v>
      </c>
      <c r="F290" s="33">
        <f>COUNTIF(PlanAktarılacakSayfa!C:C,E290)</f>
        <v>0</v>
      </c>
    </row>
    <row r="291" spans="3:6" x14ac:dyDescent="0.25">
      <c r="C291" s="30">
        <f>COUNTIF(PlanAktarılacakSayfa!C:C,B291)</f>
        <v>0</v>
      </c>
      <c r="E291" t="s">
        <v>819</v>
      </c>
      <c r="F291" s="33">
        <f>COUNTIF(PlanAktarılacakSayfa!C:C,E291)</f>
        <v>0</v>
      </c>
    </row>
    <row r="292" spans="3:6" x14ac:dyDescent="0.25">
      <c r="C292" s="30">
        <f>COUNTIF(PlanAktarılacakSayfa!C:C,B292)</f>
        <v>0</v>
      </c>
      <c r="E292" t="s">
        <v>820</v>
      </c>
      <c r="F292" s="33">
        <f>COUNTIF(PlanAktarılacakSayfa!C:C,E292)</f>
        <v>0</v>
      </c>
    </row>
    <row r="293" spans="3:6" x14ac:dyDescent="0.25">
      <c r="C293" s="30">
        <f>COUNTIF(PlanAktarılacakSayfa!C:C,B293)</f>
        <v>0</v>
      </c>
      <c r="E293" t="s">
        <v>821</v>
      </c>
      <c r="F293" s="33">
        <f>COUNTIF(PlanAktarılacakSayfa!C:C,E293)</f>
        <v>0</v>
      </c>
    </row>
    <row r="294" spans="3:6" x14ac:dyDescent="0.25">
      <c r="C294" s="30">
        <f>COUNTIF(PlanAktarılacakSayfa!C:C,B294)</f>
        <v>0</v>
      </c>
      <c r="E294" t="s">
        <v>822</v>
      </c>
      <c r="F294" s="33">
        <f>COUNTIF(PlanAktarılacakSayfa!C:C,E294)</f>
        <v>0</v>
      </c>
    </row>
    <row r="295" spans="3:6" x14ac:dyDescent="0.25">
      <c r="C295" s="30">
        <f>COUNTIF(PlanAktarılacakSayfa!C:C,B295)</f>
        <v>0</v>
      </c>
      <c r="E295" t="s">
        <v>823</v>
      </c>
      <c r="F295" s="33">
        <f>COUNTIF(PlanAktarılacakSayfa!C:C,E295)</f>
        <v>0</v>
      </c>
    </row>
    <row r="296" spans="3:6" x14ac:dyDescent="0.25">
      <c r="C296" s="30">
        <f>COUNTIF(PlanAktarılacakSayfa!C:C,B296)</f>
        <v>0</v>
      </c>
      <c r="E296" t="s">
        <v>824</v>
      </c>
      <c r="F296" s="33">
        <f>COUNTIF(PlanAktarılacakSayfa!C:C,E296)</f>
        <v>0</v>
      </c>
    </row>
    <row r="297" spans="3:6" x14ac:dyDescent="0.25">
      <c r="C297" s="30">
        <f>COUNTIF(PlanAktarılacakSayfa!C:C,B297)</f>
        <v>0</v>
      </c>
      <c r="E297" t="s">
        <v>825</v>
      </c>
      <c r="F297" s="33">
        <f>COUNTIF(PlanAktarılacakSayfa!C:C,E297)</f>
        <v>0</v>
      </c>
    </row>
    <row r="298" spans="3:6" x14ac:dyDescent="0.25">
      <c r="C298" s="30">
        <f>COUNTIF(PlanAktarılacakSayfa!C:C,B298)</f>
        <v>0</v>
      </c>
      <c r="E298" t="s">
        <v>826</v>
      </c>
      <c r="F298" s="33">
        <f>COUNTIF(PlanAktarılacakSayfa!C:C,E298)</f>
        <v>0</v>
      </c>
    </row>
    <row r="299" spans="3:6" x14ac:dyDescent="0.25">
      <c r="C299" s="30">
        <f>COUNTIF(PlanAktarılacakSayfa!C:C,B299)</f>
        <v>0</v>
      </c>
      <c r="E299" t="s">
        <v>827</v>
      </c>
      <c r="F299" s="33">
        <f>COUNTIF(PlanAktarılacakSayfa!C:C,E299)</f>
        <v>0</v>
      </c>
    </row>
    <row r="300" spans="3:6" x14ac:dyDescent="0.25">
      <c r="C300" s="30">
        <f>COUNTIF(PlanAktarılacakSayfa!C:C,B300)</f>
        <v>0</v>
      </c>
      <c r="E300" t="s">
        <v>828</v>
      </c>
      <c r="F300" s="33">
        <f>COUNTIF(PlanAktarılacakSayfa!C:C,E300)</f>
        <v>0</v>
      </c>
    </row>
    <row r="301" spans="3:6" x14ac:dyDescent="0.25">
      <c r="C301" s="30">
        <f>COUNTIF(PlanAktarılacakSayfa!C:C,B301)</f>
        <v>0</v>
      </c>
      <c r="E301" t="s">
        <v>829</v>
      </c>
      <c r="F301" s="33">
        <f>COUNTIF(PlanAktarılacakSayfa!C:C,E301)</f>
        <v>0</v>
      </c>
    </row>
    <row r="302" spans="3:6" x14ac:dyDescent="0.25">
      <c r="C302" s="30">
        <f>COUNTIF(PlanAktarılacakSayfa!C:C,B302)</f>
        <v>0</v>
      </c>
      <c r="E302" t="s">
        <v>830</v>
      </c>
      <c r="F302" s="33">
        <f>COUNTIF(PlanAktarılacakSayfa!C:C,E302)</f>
        <v>0</v>
      </c>
    </row>
    <row r="303" spans="3:6" x14ac:dyDescent="0.25">
      <c r="C303" s="30">
        <f>COUNTIF(PlanAktarılacakSayfa!C:C,B303)</f>
        <v>0</v>
      </c>
      <c r="E303" t="s">
        <v>831</v>
      </c>
      <c r="F303" s="33">
        <f>COUNTIF(PlanAktarılacakSayfa!C:C,E303)</f>
        <v>0</v>
      </c>
    </row>
    <row r="304" spans="3:6" x14ac:dyDescent="0.25">
      <c r="C304" s="30">
        <f>COUNTIF(PlanAktarılacakSayfa!C:C,B304)</f>
        <v>0</v>
      </c>
      <c r="E304" t="s">
        <v>832</v>
      </c>
      <c r="F304" s="33">
        <f>COUNTIF(PlanAktarılacakSayfa!C:C,E304)</f>
        <v>0</v>
      </c>
    </row>
    <row r="305" spans="3:6" x14ac:dyDescent="0.25">
      <c r="C305" s="30">
        <f>COUNTIF(PlanAktarılacakSayfa!C:C,B305)</f>
        <v>0</v>
      </c>
      <c r="E305" t="s">
        <v>833</v>
      </c>
      <c r="F305" s="33">
        <f>COUNTIF(PlanAktarılacakSayfa!C:C,E305)</f>
        <v>0</v>
      </c>
    </row>
    <row r="306" spans="3:6" x14ac:dyDescent="0.25">
      <c r="C306" s="30">
        <f>COUNTIF(PlanAktarılacakSayfa!C:C,B306)</f>
        <v>0</v>
      </c>
      <c r="E306" t="s">
        <v>833</v>
      </c>
      <c r="F306" s="33">
        <f>COUNTIF(PlanAktarılacakSayfa!C:C,E306)</f>
        <v>0</v>
      </c>
    </row>
    <row r="307" spans="3:6" x14ac:dyDescent="0.25">
      <c r="C307" s="30">
        <f>COUNTIF(PlanAktarılacakSayfa!C:C,B307)</f>
        <v>0</v>
      </c>
      <c r="E307" t="s">
        <v>834</v>
      </c>
      <c r="F307" s="33">
        <f>COUNTIF(PlanAktarılacakSayfa!C:C,E307)</f>
        <v>0</v>
      </c>
    </row>
    <row r="308" spans="3:6" x14ac:dyDescent="0.25">
      <c r="C308" s="30">
        <f>COUNTIF(PlanAktarılacakSayfa!C:C,B308)</f>
        <v>0</v>
      </c>
      <c r="E308" t="s">
        <v>835</v>
      </c>
      <c r="F308" s="33">
        <f>COUNTIF(PlanAktarılacakSayfa!C:C,E308)</f>
        <v>0</v>
      </c>
    </row>
    <row r="309" spans="3:6" x14ac:dyDescent="0.25">
      <c r="C309" s="30">
        <f>COUNTIF(PlanAktarılacakSayfa!C:C,B309)</f>
        <v>0</v>
      </c>
      <c r="E309" t="s">
        <v>836</v>
      </c>
      <c r="F309" s="33">
        <f>COUNTIF(PlanAktarılacakSayfa!C:C,E309)</f>
        <v>0</v>
      </c>
    </row>
    <row r="310" spans="3:6" x14ac:dyDescent="0.25">
      <c r="C310" s="30">
        <f>COUNTIF(PlanAktarılacakSayfa!C:C,B310)</f>
        <v>0</v>
      </c>
      <c r="E310" t="s">
        <v>837</v>
      </c>
      <c r="F310" s="33">
        <f>COUNTIF(PlanAktarılacakSayfa!C:C,E310)</f>
        <v>0</v>
      </c>
    </row>
    <row r="311" spans="3:6" x14ac:dyDescent="0.25">
      <c r="C311" s="30">
        <f>COUNTIF(PlanAktarılacakSayfa!C:C,B311)</f>
        <v>0</v>
      </c>
      <c r="E311" t="s">
        <v>838</v>
      </c>
      <c r="F311" s="33">
        <f>COUNTIF(PlanAktarılacakSayfa!C:C,E311)</f>
        <v>0</v>
      </c>
    </row>
    <row r="312" spans="3:6" x14ac:dyDescent="0.25">
      <c r="C312" s="30">
        <f>COUNTIF(PlanAktarılacakSayfa!C:C,B312)</f>
        <v>0</v>
      </c>
      <c r="E312" t="s">
        <v>839</v>
      </c>
      <c r="F312" s="33">
        <f>COUNTIF(PlanAktarılacakSayfa!C:C,E312)</f>
        <v>0</v>
      </c>
    </row>
    <row r="313" spans="3:6" x14ac:dyDescent="0.25">
      <c r="C313" s="30">
        <f>COUNTIF(PlanAktarılacakSayfa!C:C,B313)</f>
        <v>0</v>
      </c>
      <c r="E313" t="s">
        <v>840</v>
      </c>
      <c r="F313" s="33">
        <f>COUNTIF(PlanAktarılacakSayfa!C:C,E313)</f>
        <v>0</v>
      </c>
    </row>
    <row r="314" spans="3:6" x14ac:dyDescent="0.25">
      <c r="C314" s="30">
        <f>COUNTIF(PlanAktarılacakSayfa!C:C,B314)</f>
        <v>0</v>
      </c>
      <c r="E314" t="s">
        <v>841</v>
      </c>
      <c r="F314" s="33">
        <f>COUNTIF(PlanAktarılacakSayfa!C:C,E314)</f>
        <v>0</v>
      </c>
    </row>
    <row r="315" spans="3:6" x14ac:dyDescent="0.25">
      <c r="C315" s="30">
        <f>COUNTIF(PlanAktarılacakSayfa!C:C,B315)</f>
        <v>0</v>
      </c>
      <c r="E315" t="s">
        <v>842</v>
      </c>
      <c r="F315" s="33">
        <f>COUNTIF(PlanAktarılacakSayfa!C:C,E315)</f>
        <v>0</v>
      </c>
    </row>
    <row r="316" spans="3:6" x14ac:dyDescent="0.25">
      <c r="C316" s="30">
        <f>COUNTIF(PlanAktarılacakSayfa!C:C,B316)</f>
        <v>0</v>
      </c>
      <c r="E316" t="s">
        <v>843</v>
      </c>
      <c r="F316" s="33">
        <f>COUNTIF(PlanAktarılacakSayfa!C:C,E316)</f>
        <v>0</v>
      </c>
    </row>
    <row r="317" spans="3:6" x14ac:dyDescent="0.25">
      <c r="C317" s="30">
        <f>COUNTIF(PlanAktarılacakSayfa!C:C,B317)</f>
        <v>0</v>
      </c>
      <c r="E317" t="s">
        <v>844</v>
      </c>
      <c r="F317" s="33">
        <f>COUNTIF(PlanAktarılacakSayfa!C:C,E317)</f>
        <v>0</v>
      </c>
    </row>
    <row r="318" spans="3:6" x14ac:dyDescent="0.25">
      <c r="C318" s="30">
        <f>COUNTIF(PlanAktarılacakSayfa!C:C,B318)</f>
        <v>0</v>
      </c>
      <c r="E318" t="s">
        <v>845</v>
      </c>
      <c r="F318" s="33">
        <f>COUNTIF(PlanAktarılacakSayfa!C:C,E318)</f>
        <v>0</v>
      </c>
    </row>
    <row r="319" spans="3:6" x14ac:dyDescent="0.25">
      <c r="C319" s="30">
        <f>COUNTIF(PlanAktarılacakSayfa!C:C,B319)</f>
        <v>0</v>
      </c>
      <c r="E319" t="s">
        <v>846</v>
      </c>
      <c r="F319" s="33">
        <f>COUNTIF(PlanAktarılacakSayfa!C:C,E319)</f>
        <v>0</v>
      </c>
    </row>
    <row r="320" spans="3:6" x14ac:dyDescent="0.25">
      <c r="C320" s="30">
        <f>COUNTIF(PlanAktarılacakSayfa!C:C,B320)</f>
        <v>0</v>
      </c>
      <c r="E320" t="s">
        <v>847</v>
      </c>
      <c r="F320" s="33">
        <f>COUNTIF(PlanAktarılacakSayfa!C:C,E320)</f>
        <v>0</v>
      </c>
    </row>
    <row r="321" spans="3:6" x14ac:dyDescent="0.25">
      <c r="C321" s="30">
        <f>COUNTIF(PlanAktarılacakSayfa!C:C,B321)</f>
        <v>0</v>
      </c>
      <c r="E321" t="s">
        <v>848</v>
      </c>
      <c r="F321" s="33">
        <f>COUNTIF(PlanAktarılacakSayfa!C:C,E321)</f>
        <v>0</v>
      </c>
    </row>
    <row r="322" spans="3:6" x14ac:dyDescent="0.25">
      <c r="C322" s="30">
        <f>COUNTIF(PlanAktarılacakSayfa!C:C,B322)</f>
        <v>0</v>
      </c>
      <c r="E322" t="s">
        <v>849</v>
      </c>
      <c r="F322" s="33">
        <f>COUNTIF(PlanAktarılacakSayfa!C:C,E322)</f>
        <v>0</v>
      </c>
    </row>
    <row r="323" spans="3:6" x14ac:dyDescent="0.25">
      <c r="C323" s="30">
        <f>COUNTIF(PlanAktarılacakSayfa!C:C,B323)</f>
        <v>0</v>
      </c>
      <c r="E323" t="s">
        <v>850</v>
      </c>
      <c r="F323" s="33">
        <f>COUNTIF(PlanAktarılacakSayfa!C:C,E323)</f>
        <v>0</v>
      </c>
    </row>
    <row r="324" spans="3:6" x14ac:dyDescent="0.25">
      <c r="C324" s="30">
        <f>COUNTIF(PlanAktarılacakSayfa!C:C,B324)</f>
        <v>0</v>
      </c>
      <c r="E324" t="s">
        <v>851</v>
      </c>
      <c r="F324" s="33">
        <f>COUNTIF(PlanAktarılacakSayfa!C:C,E324)</f>
        <v>0</v>
      </c>
    </row>
    <row r="325" spans="3:6" x14ac:dyDescent="0.25">
      <c r="C325" s="30">
        <f>COUNTIF(PlanAktarılacakSayfa!C:C,B325)</f>
        <v>0</v>
      </c>
      <c r="E325" t="s">
        <v>852</v>
      </c>
      <c r="F325" s="33">
        <f>COUNTIF(PlanAktarılacakSayfa!C:C,E325)</f>
        <v>0</v>
      </c>
    </row>
    <row r="326" spans="3:6" x14ac:dyDescent="0.25">
      <c r="C326" s="30">
        <f>COUNTIF(PlanAktarılacakSayfa!C:C,B326)</f>
        <v>0</v>
      </c>
      <c r="E326" t="s">
        <v>853</v>
      </c>
      <c r="F326" s="33">
        <f>COUNTIF(PlanAktarılacakSayfa!C:C,E326)</f>
        <v>0</v>
      </c>
    </row>
    <row r="327" spans="3:6" x14ac:dyDescent="0.25">
      <c r="C327" s="30">
        <f>COUNTIF(PlanAktarılacakSayfa!C:C,B327)</f>
        <v>0</v>
      </c>
      <c r="E327" t="s">
        <v>854</v>
      </c>
      <c r="F327" s="33">
        <f>COUNTIF(PlanAktarılacakSayfa!C:C,E327)</f>
        <v>0</v>
      </c>
    </row>
    <row r="328" spans="3:6" x14ac:dyDescent="0.25">
      <c r="C328" s="30">
        <f>COUNTIF(PlanAktarılacakSayfa!C:C,B328)</f>
        <v>0</v>
      </c>
      <c r="E328" t="s">
        <v>855</v>
      </c>
      <c r="F328" s="33">
        <f>COUNTIF(PlanAktarılacakSayfa!C:C,E328)</f>
        <v>0</v>
      </c>
    </row>
    <row r="329" spans="3:6" x14ac:dyDescent="0.25">
      <c r="C329" s="30">
        <f>COUNTIF(PlanAktarılacakSayfa!C:C,B329)</f>
        <v>0</v>
      </c>
      <c r="E329" t="s">
        <v>856</v>
      </c>
      <c r="F329" s="33">
        <f>COUNTIF(PlanAktarılacakSayfa!C:C,E329)</f>
        <v>0</v>
      </c>
    </row>
    <row r="330" spans="3:6" x14ac:dyDescent="0.25">
      <c r="C330" s="30">
        <f>COUNTIF(PlanAktarılacakSayfa!C:C,B330)</f>
        <v>0</v>
      </c>
      <c r="E330" t="s">
        <v>857</v>
      </c>
      <c r="F330" s="33">
        <f>COUNTIF(PlanAktarılacakSayfa!C:C,E330)</f>
        <v>0</v>
      </c>
    </row>
    <row r="331" spans="3:6" x14ac:dyDescent="0.25">
      <c r="C331" s="30">
        <f>COUNTIF(PlanAktarılacakSayfa!C:C,B331)</f>
        <v>0</v>
      </c>
      <c r="E331" t="s">
        <v>858</v>
      </c>
      <c r="F331" s="33">
        <f>COUNTIF(PlanAktarılacakSayfa!C:C,E331)</f>
        <v>0</v>
      </c>
    </row>
    <row r="332" spans="3:6" x14ac:dyDescent="0.25">
      <c r="C332" s="30">
        <f>COUNTIF(PlanAktarılacakSayfa!C:C,B332)</f>
        <v>0</v>
      </c>
      <c r="E332" t="s">
        <v>859</v>
      </c>
      <c r="F332" s="33">
        <f>COUNTIF(PlanAktarılacakSayfa!C:C,E332)</f>
        <v>0</v>
      </c>
    </row>
    <row r="333" spans="3:6" x14ac:dyDescent="0.25">
      <c r="C333" s="30">
        <f>COUNTIF(PlanAktarılacakSayfa!C:C,B333)</f>
        <v>0</v>
      </c>
      <c r="E333" t="s">
        <v>860</v>
      </c>
      <c r="F333" s="33">
        <f>COUNTIF(PlanAktarılacakSayfa!C:C,E333)</f>
        <v>0</v>
      </c>
    </row>
    <row r="334" spans="3:6" x14ac:dyDescent="0.25">
      <c r="C334" s="30">
        <f>COUNTIF(PlanAktarılacakSayfa!C:C,B334)</f>
        <v>0</v>
      </c>
      <c r="E334" t="s">
        <v>861</v>
      </c>
      <c r="F334" s="33">
        <f>COUNTIF(PlanAktarılacakSayfa!C:C,E334)</f>
        <v>0</v>
      </c>
    </row>
    <row r="335" spans="3:6" x14ac:dyDescent="0.25">
      <c r="C335" s="30">
        <f>COUNTIF(PlanAktarılacakSayfa!C:C,B335)</f>
        <v>0</v>
      </c>
      <c r="E335" t="s">
        <v>862</v>
      </c>
      <c r="F335" s="33">
        <f>COUNTIF(PlanAktarılacakSayfa!C:C,E335)</f>
        <v>0</v>
      </c>
    </row>
    <row r="336" spans="3:6" x14ac:dyDescent="0.25">
      <c r="C336" s="30">
        <f>COUNTIF(PlanAktarılacakSayfa!C:C,B336)</f>
        <v>0</v>
      </c>
      <c r="E336" t="s">
        <v>863</v>
      </c>
      <c r="F336" s="33">
        <f>COUNTIF(PlanAktarılacakSayfa!C:C,E336)</f>
        <v>0</v>
      </c>
    </row>
    <row r="337" spans="3:6" x14ac:dyDescent="0.25">
      <c r="C337" s="30">
        <f>COUNTIF(PlanAktarılacakSayfa!C:C,B337)</f>
        <v>0</v>
      </c>
      <c r="E337" t="s">
        <v>864</v>
      </c>
      <c r="F337" s="33">
        <f>COUNTIF(PlanAktarılacakSayfa!C:C,E337)</f>
        <v>0</v>
      </c>
    </row>
    <row r="338" spans="3:6" x14ac:dyDescent="0.25">
      <c r="C338" s="30">
        <f>COUNTIF(PlanAktarılacakSayfa!C:C,B338)</f>
        <v>0</v>
      </c>
      <c r="E338" t="s">
        <v>865</v>
      </c>
      <c r="F338" s="33">
        <f>COUNTIF(PlanAktarılacakSayfa!C:C,E338)</f>
        <v>0</v>
      </c>
    </row>
    <row r="339" spans="3:6" x14ac:dyDescent="0.25">
      <c r="C339" s="30">
        <f>COUNTIF(PlanAktarılacakSayfa!C:C,B339)</f>
        <v>0</v>
      </c>
      <c r="E339" t="s">
        <v>866</v>
      </c>
      <c r="F339" s="33">
        <f>COUNTIF(PlanAktarılacakSayfa!C:C,E339)</f>
        <v>0</v>
      </c>
    </row>
    <row r="340" spans="3:6" x14ac:dyDescent="0.25">
      <c r="C340" s="30">
        <f>COUNTIF(PlanAktarılacakSayfa!C:C,B340)</f>
        <v>0</v>
      </c>
      <c r="E340" t="s">
        <v>867</v>
      </c>
      <c r="F340" s="33">
        <f>COUNTIF(PlanAktarılacakSayfa!C:C,E340)</f>
        <v>0</v>
      </c>
    </row>
    <row r="341" spans="3:6" x14ac:dyDescent="0.25">
      <c r="C341" s="30">
        <f>COUNTIF(PlanAktarılacakSayfa!C:C,B341)</f>
        <v>0</v>
      </c>
      <c r="E341" t="s">
        <v>868</v>
      </c>
      <c r="F341" s="33">
        <f>COUNTIF(PlanAktarılacakSayfa!C:C,E341)</f>
        <v>0</v>
      </c>
    </row>
    <row r="342" spans="3:6" x14ac:dyDescent="0.25">
      <c r="C342" s="30">
        <f>COUNTIF(PlanAktarılacakSayfa!C:C,B342)</f>
        <v>0</v>
      </c>
      <c r="E342" t="s">
        <v>869</v>
      </c>
      <c r="F342" s="33">
        <f>COUNTIF(PlanAktarılacakSayfa!C:C,E342)</f>
        <v>0</v>
      </c>
    </row>
    <row r="343" spans="3:6" x14ac:dyDescent="0.25">
      <c r="C343" s="30">
        <f>COUNTIF(PlanAktarılacakSayfa!C:C,B343)</f>
        <v>0</v>
      </c>
      <c r="E343" t="s">
        <v>870</v>
      </c>
      <c r="F343" s="33">
        <f>COUNTIF(PlanAktarılacakSayfa!C:C,E343)</f>
        <v>0</v>
      </c>
    </row>
    <row r="344" spans="3:6" x14ac:dyDescent="0.25">
      <c r="C344" s="30">
        <f>COUNTIF(PlanAktarılacakSayfa!C:C,B344)</f>
        <v>0</v>
      </c>
      <c r="E344" t="s">
        <v>871</v>
      </c>
      <c r="F344" s="33">
        <f>COUNTIF(PlanAktarılacakSayfa!C:C,E344)</f>
        <v>0</v>
      </c>
    </row>
    <row r="345" spans="3:6" x14ac:dyDescent="0.25">
      <c r="C345" s="30">
        <f>COUNTIF(PlanAktarılacakSayfa!C:C,B345)</f>
        <v>0</v>
      </c>
      <c r="E345" t="s">
        <v>872</v>
      </c>
      <c r="F345" s="33">
        <f>COUNTIF(PlanAktarılacakSayfa!C:C,E345)</f>
        <v>0</v>
      </c>
    </row>
    <row r="346" spans="3:6" x14ac:dyDescent="0.25">
      <c r="C346" s="30">
        <f>COUNTIF(PlanAktarılacakSayfa!C:C,B346)</f>
        <v>0</v>
      </c>
      <c r="E346" t="s">
        <v>873</v>
      </c>
      <c r="F346" s="33">
        <f>COUNTIF(PlanAktarılacakSayfa!C:C,E346)</f>
        <v>0</v>
      </c>
    </row>
    <row r="347" spans="3:6" x14ac:dyDescent="0.25">
      <c r="C347" s="30">
        <f>COUNTIF(PlanAktarılacakSayfa!C:C,B347)</f>
        <v>0</v>
      </c>
      <c r="E347" t="s">
        <v>874</v>
      </c>
      <c r="F347" s="33">
        <f>COUNTIF(PlanAktarılacakSayfa!C:C,E347)</f>
        <v>0</v>
      </c>
    </row>
    <row r="348" spans="3:6" x14ac:dyDescent="0.25">
      <c r="C348" s="30">
        <f>COUNTIF(PlanAktarılacakSayfa!C:C,B348)</f>
        <v>0</v>
      </c>
      <c r="E348" t="s">
        <v>875</v>
      </c>
      <c r="F348" s="33">
        <f>COUNTIF(PlanAktarılacakSayfa!C:C,E348)</f>
        <v>0</v>
      </c>
    </row>
    <row r="349" spans="3:6" x14ac:dyDescent="0.25">
      <c r="C349" s="30">
        <f>COUNTIF(PlanAktarılacakSayfa!C:C,B349)</f>
        <v>0</v>
      </c>
      <c r="E349" t="s">
        <v>876</v>
      </c>
      <c r="F349" s="33">
        <f>COUNTIF(PlanAktarılacakSayfa!C:C,E349)</f>
        <v>0</v>
      </c>
    </row>
    <row r="350" spans="3:6" x14ac:dyDescent="0.25">
      <c r="C350" s="30">
        <f>COUNTIF(PlanAktarılacakSayfa!C:C,B350)</f>
        <v>0</v>
      </c>
      <c r="E350" t="s">
        <v>877</v>
      </c>
      <c r="F350" s="33">
        <f>COUNTIF(PlanAktarılacakSayfa!C:C,E350)</f>
        <v>0</v>
      </c>
    </row>
    <row r="351" spans="3:6" x14ac:dyDescent="0.25">
      <c r="C351" s="30">
        <f>COUNTIF(PlanAktarılacakSayfa!C:C,B351)</f>
        <v>0</v>
      </c>
      <c r="E351" t="s">
        <v>878</v>
      </c>
      <c r="F351" s="33">
        <f>COUNTIF(PlanAktarılacakSayfa!C:C,E351)</f>
        <v>0</v>
      </c>
    </row>
    <row r="352" spans="3:6" x14ac:dyDescent="0.25">
      <c r="C352" s="30">
        <f>COUNTIF(PlanAktarılacakSayfa!C:C,B352)</f>
        <v>0</v>
      </c>
      <c r="E352" t="s">
        <v>879</v>
      </c>
      <c r="F352" s="33">
        <f>COUNTIF(PlanAktarılacakSayfa!C:C,E352)</f>
        <v>0</v>
      </c>
    </row>
    <row r="353" spans="3:6" x14ac:dyDescent="0.25">
      <c r="C353" s="30">
        <f>COUNTIF(PlanAktarılacakSayfa!C:C,B353)</f>
        <v>0</v>
      </c>
      <c r="E353" t="s">
        <v>880</v>
      </c>
      <c r="F353" s="33">
        <f>COUNTIF(PlanAktarılacakSayfa!C:C,E353)</f>
        <v>0</v>
      </c>
    </row>
    <row r="354" spans="3:6" x14ac:dyDescent="0.25">
      <c r="C354" s="30">
        <f>COUNTIF(PlanAktarılacakSayfa!C:C,B354)</f>
        <v>0</v>
      </c>
      <c r="E354" t="s">
        <v>881</v>
      </c>
      <c r="F354" s="33">
        <f>COUNTIF(PlanAktarılacakSayfa!C:C,E354)</f>
        <v>0</v>
      </c>
    </row>
    <row r="355" spans="3:6" x14ac:dyDescent="0.25">
      <c r="C355" s="30">
        <f>COUNTIF(PlanAktarılacakSayfa!C:C,B355)</f>
        <v>0</v>
      </c>
      <c r="E355" t="s">
        <v>882</v>
      </c>
      <c r="F355" s="33">
        <f>COUNTIF(PlanAktarılacakSayfa!C:C,E355)</f>
        <v>0</v>
      </c>
    </row>
    <row r="356" spans="3:6" x14ac:dyDescent="0.25">
      <c r="C356" s="30">
        <f>COUNTIF(PlanAktarılacakSayfa!C:C,B356)</f>
        <v>0</v>
      </c>
      <c r="E356" t="s">
        <v>883</v>
      </c>
      <c r="F356" s="33">
        <f>COUNTIF(PlanAktarılacakSayfa!C:C,E356)</f>
        <v>0</v>
      </c>
    </row>
    <row r="357" spans="3:6" x14ac:dyDescent="0.25">
      <c r="C357" s="30">
        <f>COUNTIF(PlanAktarılacakSayfa!C:C,B357)</f>
        <v>0</v>
      </c>
      <c r="E357" t="s">
        <v>884</v>
      </c>
      <c r="F357" s="33">
        <f>COUNTIF(PlanAktarılacakSayfa!C:C,E357)</f>
        <v>0</v>
      </c>
    </row>
    <row r="358" spans="3:6" x14ac:dyDescent="0.25">
      <c r="C358" s="30">
        <f>COUNTIF(PlanAktarılacakSayfa!C:C,B358)</f>
        <v>0</v>
      </c>
      <c r="E358" t="s">
        <v>884</v>
      </c>
      <c r="F358" s="33">
        <f>COUNTIF(PlanAktarılacakSayfa!C:C,E358)</f>
        <v>0</v>
      </c>
    </row>
    <row r="359" spans="3:6" x14ac:dyDescent="0.25">
      <c r="C359" s="30">
        <f>COUNTIF(PlanAktarılacakSayfa!C:C,B359)</f>
        <v>0</v>
      </c>
      <c r="E359" t="s">
        <v>885</v>
      </c>
      <c r="F359" s="33">
        <f>COUNTIF(PlanAktarılacakSayfa!C:C,E359)</f>
        <v>0</v>
      </c>
    </row>
    <row r="360" spans="3:6" x14ac:dyDescent="0.25">
      <c r="C360" s="30">
        <f>COUNTIF(PlanAktarılacakSayfa!C:C,B360)</f>
        <v>0</v>
      </c>
      <c r="E360" t="s">
        <v>886</v>
      </c>
      <c r="F360" s="33">
        <f>COUNTIF(PlanAktarılacakSayfa!C:C,E360)</f>
        <v>0</v>
      </c>
    </row>
    <row r="361" spans="3:6" x14ac:dyDescent="0.25">
      <c r="C361" s="30">
        <f>COUNTIF(PlanAktarılacakSayfa!C:C,B361)</f>
        <v>0</v>
      </c>
      <c r="E361" t="s">
        <v>887</v>
      </c>
      <c r="F361" s="33">
        <f>COUNTIF(PlanAktarılacakSayfa!C:C,E361)</f>
        <v>0</v>
      </c>
    </row>
    <row r="362" spans="3:6" x14ac:dyDescent="0.25">
      <c r="C362" s="30">
        <f>COUNTIF(PlanAktarılacakSayfa!C:C,B362)</f>
        <v>0</v>
      </c>
      <c r="E362" t="s">
        <v>888</v>
      </c>
      <c r="F362" s="33">
        <f>COUNTIF(PlanAktarılacakSayfa!C:C,E362)</f>
        <v>0</v>
      </c>
    </row>
    <row r="363" spans="3:6" x14ac:dyDescent="0.25">
      <c r="C363" s="30">
        <f>COUNTIF(PlanAktarılacakSayfa!C:C,B363)</f>
        <v>0</v>
      </c>
      <c r="E363" t="s">
        <v>889</v>
      </c>
      <c r="F363" s="33">
        <f>COUNTIF(PlanAktarılacakSayfa!C:C,E363)</f>
        <v>0</v>
      </c>
    </row>
    <row r="364" spans="3:6" x14ac:dyDescent="0.25">
      <c r="C364" s="30">
        <f>COUNTIF(PlanAktarılacakSayfa!C:C,B364)</f>
        <v>0</v>
      </c>
      <c r="E364" t="s">
        <v>890</v>
      </c>
      <c r="F364" s="33">
        <f>COUNTIF(PlanAktarılacakSayfa!C:C,E364)</f>
        <v>0</v>
      </c>
    </row>
    <row r="365" spans="3:6" x14ac:dyDescent="0.25">
      <c r="C365" s="30">
        <f>COUNTIF(PlanAktarılacakSayfa!C:C,B365)</f>
        <v>0</v>
      </c>
      <c r="E365" t="s">
        <v>891</v>
      </c>
      <c r="F365" s="33">
        <f>COUNTIF(PlanAktarılacakSayfa!C:C,E365)</f>
        <v>0</v>
      </c>
    </row>
    <row r="366" spans="3:6" x14ac:dyDescent="0.25">
      <c r="C366" s="30">
        <f>COUNTIF(PlanAktarılacakSayfa!C:C,B366)</f>
        <v>0</v>
      </c>
      <c r="E366" t="s">
        <v>892</v>
      </c>
      <c r="F366" s="33">
        <f>COUNTIF(PlanAktarılacakSayfa!C:C,E366)</f>
        <v>0</v>
      </c>
    </row>
    <row r="367" spans="3:6" x14ac:dyDescent="0.25">
      <c r="C367" s="30">
        <f>COUNTIF(PlanAktarılacakSayfa!C:C,B367)</f>
        <v>0</v>
      </c>
      <c r="E367" t="s">
        <v>893</v>
      </c>
      <c r="F367" s="33">
        <f>COUNTIF(PlanAktarılacakSayfa!C:C,E367)</f>
        <v>0</v>
      </c>
    </row>
    <row r="368" spans="3:6" x14ac:dyDescent="0.25">
      <c r="C368" s="30">
        <f>COUNTIF(PlanAktarılacakSayfa!C:C,B368)</f>
        <v>0</v>
      </c>
      <c r="E368" t="s">
        <v>894</v>
      </c>
      <c r="F368" s="33">
        <f>COUNTIF(PlanAktarılacakSayfa!C:C,E368)</f>
        <v>0</v>
      </c>
    </row>
    <row r="369" spans="3:6" x14ac:dyDescent="0.25">
      <c r="C369" s="30">
        <f>COUNTIF(PlanAktarılacakSayfa!C:C,B369)</f>
        <v>0</v>
      </c>
      <c r="E369" t="s">
        <v>895</v>
      </c>
      <c r="F369" s="33">
        <f>COUNTIF(PlanAktarılacakSayfa!C:C,E369)</f>
        <v>0</v>
      </c>
    </row>
    <row r="370" spans="3:6" x14ac:dyDescent="0.25">
      <c r="C370" s="30">
        <f>COUNTIF(PlanAktarılacakSayfa!C:C,B370)</f>
        <v>0</v>
      </c>
      <c r="E370" t="s">
        <v>896</v>
      </c>
      <c r="F370" s="33">
        <f>COUNTIF(PlanAktarılacakSayfa!C:C,E370)</f>
        <v>0</v>
      </c>
    </row>
    <row r="371" spans="3:6" x14ac:dyDescent="0.25">
      <c r="C371" s="30">
        <f>COUNTIF(PlanAktarılacakSayfa!C:C,B371)</f>
        <v>0</v>
      </c>
      <c r="E371" t="s">
        <v>897</v>
      </c>
      <c r="F371" s="33">
        <f>COUNTIF(PlanAktarılacakSayfa!C:C,E371)</f>
        <v>0</v>
      </c>
    </row>
    <row r="372" spans="3:6" x14ac:dyDescent="0.25">
      <c r="C372" s="30">
        <f>COUNTIF(PlanAktarılacakSayfa!C:C,B372)</f>
        <v>0</v>
      </c>
      <c r="E372" t="s">
        <v>898</v>
      </c>
      <c r="F372" s="33">
        <f>COUNTIF(PlanAktarılacakSayfa!C:C,E372)</f>
        <v>0</v>
      </c>
    </row>
    <row r="373" spans="3:6" x14ac:dyDescent="0.25">
      <c r="C373" s="30">
        <f>COUNTIF(PlanAktarılacakSayfa!C:C,B373)</f>
        <v>0</v>
      </c>
      <c r="E373" t="s">
        <v>899</v>
      </c>
      <c r="F373" s="33">
        <f>COUNTIF(PlanAktarılacakSayfa!C:C,E373)</f>
        <v>0</v>
      </c>
    </row>
    <row r="374" spans="3:6" x14ac:dyDescent="0.25">
      <c r="C374" s="30">
        <f>COUNTIF(PlanAktarılacakSayfa!C:C,B374)</f>
        <v>0</v>
      </c>
      <c r="E374" t="s">
        <v>900</v>
      </c>
      <c r="F374" s="33">
        <f>COUNTIF(PlanAktarılacakSayfa!C:C,E374)</f>
        <v>0</v>
      </c>
    </row>
    <row r="375" spans="3:6" x14ac:dyDescent="0.25">
      <c r="C375" s="30">
        <f>COUNTIF(PlanAktarılacakSayfa!C:C,B375)</f>
        <v>0</v>
      </c>
      <c r="E375" t="s">
        <v>901</v>
      </c>
      <c r="F375" s="33">
        <f>COUNTIF(PlanAktarılacakSayfa!C:C,E375)</f>
        <v>0</v>
      </c>
    </row>
    <row r="376" spans="3:6" x14ac:dyDescent="0.25">
      <c r="C376" s="30">
        <f>COUNTIF(PlanAktarılacakSayfa!C:C,B376)</f>
        <v>0</v>
      </c>
      <c r="E376" t="s">
        <v>902</v>
      </c>
      <c r="F376" s="33">
        <f>COUNTIF(PlanAktarılacakSayfa!C:C,E376)</f>
        <v>0</v>
      </c>
    </row>
    <row r="377" spans="3:6" x14ac:dyDescent="0.25">
      <c r="C377" s="30">
        <f>COUNTIF(PlanAktarılacakSayfa!C:C,B377)</f>
        <v>0</v>
      </c>
      <c r="E377" t="s">
        <v>903</v>
      </c>
      <c r="F377" s="33">
        <f>COUNTIF(PlanAktarılacakSayfa!C:C,E377)</f>
        <v>0</v>
      </c>
    </row>
    <row r="378" spans="3:6" x14ac:dyDescent="0.25">
      <c r="C378" s="30">
        <f>COUNTIF(PlanAktarılacakSayfa!C:C,B378)</f>
        <v>0</v>
      </c>
      <c r="E378" t="s">
        <v>904</v>
      </c>
      <c r="F378" s="33">
        <f>COUNTIF(PlanAktarılacakSayfa!C:C,E378)</f>
        <v>0</v>
      </c>
    </row>
    <row r="379" spans="3:6" x14ac:dyDescent="0.25">
      <c r="C379" s="30">
        <f>COUNTIF(PlanAktarılacakSayfa!C:C,B379)</f>
        <v>0</v>
      </c>
      <c r="E379" t="s">
        <v>905</v>
      </c>
      <c r="F379" s="33">
        <f>COUNTIF(PlanAktarılacakSayfa!C:C,E379)</f>
        <v>0</v>
      </c>
    </row>
    <row r="380" spans="3:6" x14ac:dyDescent="0.25">
      <c r="C380" s="30">
        <f>COUNTIF(PlanAktarılacakSayfa!C:C,B380)</f>
        <v>0</v>
      </c>
      <c r="E380" t="s">
        <v>906</v>
      </c>
      <c r="F380" s="33">
        <f>COUNTIF(PlanAktarılacakSayfa!C:C,E380)</f>
        <v>0</v>
      </c>
    </row>
    <row r="381" spans="3:6" x14ac:dyDescent="0.25">
      <c r="C381" s="30">
        <f>COUNTIF(PlanAktarılacakSayfa!C:C,B381)</f>
        <v>0</v>
      </c>
      <c r="E381" t="s">
        <v>907</v>
      </c>
      <c r="F381" s="33">
        <f>COUNTIF(PlanAktarılacakSayfa!C:C,E381)</f>
        <v>0</v>
      </c>
    </row>
    <row r="382" spans="3:6" x14ac:dyDescent="0.25">
      <c r="C382" s="30">
        <f>COUNTIF(PlanAktarılacakSayfa!C:C,B382)</f>
        <v>0</v>
      </c>
      <c r="E382" t="s">
        <v>908</v>
      </c>
      <c r="F382" s="33">
        <f>COUNTIF(PlanAktarılacakSayfa!C:C,E382)</f>
        <v>0</v>
      </c>
    </row>
    <row r="383" spans="3:6" x14ac:dyDescent="0.25">
      <c r="C383" s="30">
        <f>COUNTIF(PlanAktarılacakSayfa!C:C,B383)</f>
        <v>0</v>
      </c>
      <c r="E383" t="s">
        <v>909</v>
      </c>
      <c r="F383" s="33">
        <f>COUNTIF(PlanAktarılacakSayfa!C:C,E383)</f>
        <v>0</v>
      </c>
    </row>
    <row r="384" spans="3:6" x14ac:dyDescent="0.25">
      <c r="C384" s="30">
        <f>COUNTIF(PlanAktarılacakSayfa!C:C,B384)</f>
        <v>0</v>
      </c>
      <c r="E384" t="s">
        <v>910</v>
      </c>
      <c r="F384" s="33">
        <f>COUNTIF(PlanAktarılacakSayfa!C:C,E384)</f>
        <v>0</v>
      </c>
    </row>
    <row r="385" spans="3:6" x14ac:dyDescent="0.25">
      <c r="C385" s="30">
        <f>COUNTIF(PlanAktarılacakSayfa!C:C,B385)</f>
        <v>0</v>
      </c>
      <c r="E385" t="s">
        <v>911</v>
      </c>
      <c r="F385" s="33">
        <f>COUNTIF(PlanAktarılacakSayfa!C:C,E385)</f>
        <v>0</v>
      </c>
    </row>
    <row r="386" spans="3:6" x14ac:dyDescent="0.25">
      <c r="C386" s="30">
        <f>COUNTIF(PlanAktarılacakSayfa!C:C,B386)</f>
        <v>0</v>
      </c>
      <c r="E386" t="s">
        <v>912</v>
      </c>
      <c r="F386" s="33">
        <f>COUNTIF(PlanAktarılacakSayfa!C:C,E386)</f>
        <v>0</v>
      </c>
    </row>
    <row r="387" spans="3:6" x14ac:dyDescent="0.25">
      <c r="C387" s="30">
        <f>COUNTIF(PlanAktarılacakSayfa!C:C,B387)</f>
        <v>0</v>
      </c>
      <c r="E387" t="s">
        <v>913</v>
      </c>
      <c r="F387" s="33">
        <f>COUNTIF(PlanAktarılacakSayfa!C:C,E387)</f>
        <v>0</v>
      </c>
    </row>
    <row r="388" spans="3:6" x14ac:dyDescent="0.25">
      <c r="C388" s="30">
        <f>COUNTIF(PlanAktarılacakSayfa!C:C,B388)</f>
        <v>0</v>
      </c>
      <c r="E388" t="s">
        <v>914</v>
      </c>
      <c r="F388" s="33">
        <f>COUNTIF(PlanAktarılacakSayfa!C:C,E388)</f>
        <v>0</v>
      </c>
    </row>
    <row r="389" spans="3:6" x14ac:dyDescent="0.25">
      <c r="C389" s="30">
        <f>COUNTIF(PlanAktarılacakSayfa!C:C,B389)</f>
        <v>0</v>
      </c>
      <c r="E389" t="s">
        <v>915</v>
      </c>
      <c r="F389" s="33">
        <f>COUNTIF(PlanAktarılacakSayfa!C:C,E389)</f>
        <v>0</v>
      </c>
    </row>
    <row r="390" spans="3:6" x14ac:dyDescent="0.25">
      <c r="C390" s="30">
        <f>COUNTIF(PlanAktarılacakSayfa!C:C,B390)</f>
        <v>0</v>
      </c>
      <c r="E390" t="s">
        <v>916</v>
      </c>
      <c r="F390" s="33">
        <f>COUNTIF(PlanAktarılacakSayfa!C:C,E390)</f>
        <v>0</v>
      </c>
    </row>
    <row r="391" spans="3:6" x14ac:dyDescent="0.25">
      <c r="C391" s="30">
        <f>COUNTIF(PlanAktarılacakSayfa!C:C,B391)</f>
        <v>0</v>
      </c>
      <c r="E391" t="s">
        <v>917</v>
      </c>
      <c r="F391" s="33">
        <f>COUNTIF(PlanAktarılacakSayfa!C:C,E391)</f>
        <v>0</v>
      </c>
    </row>
    <row r="392" spans="3:6" x14ac:dyDescent="0.25">
      <c r="C392" s="30">
        <f>COUNTIF(PlanAktarılacakSayfa!C:C,B392)</f>
        <v>0</v>
      </c>
      <c r="E392" t="s">
        <v>918</v>
      </c>
      <c r="F392" s="33">
        <f>COUNTIF(PlanAktarılacakSayfa!C:C,E392)</f>
        <v>0</v>
      </c>
    </row>
    <row r="393" spans="3:6" x14ac:dyDescent="0.25">
      <c r="C393" s="30">
        <f>COUNTIF(PlanAktarılacakSayfa!C:C,B393)</f>
        <v>0</v>
      </c>
      <c r="E393" t="s">
        <v>919</v>
      </c>
      <c r="F393" s="33">
        <f>COUNTIF(PlanAktarılacakSayfa!C:C,E393)</f>
        <v>0</v>
      </c>
    </row>
    <row r="394" spans="3:6" x14ac:dyDescent="0.25">
      <c r="C394" s="30">
        <f>COUNTIF(PlanAktarılacakSayfa!C:C,B394)</f>
        <v>0</v>
      </c>
      <c r="E394" t="s">
        <v>920</v>
      </c>
      <c r="F394" s="33">
        <f>COUNTIF(PlanAktarılacakSayfa!C:C,E394)</f>
        <v>0</v>
      </c>
    </row>
    <row r="395" spans="3:6" x14ac:dyDescent="0.25">
      <c r="C395" s="30">
        <f>COUNTIF(PlanAktarılacakSayfa!C:C,B395)</f>
        <v>0</v>
      </c>
      <c r="E395" t="s">
        <v>921</v>
      </c>
      <c r="F395" s="33">
        <f>COUNTIF(PlanAktarılacakSayfa!C:C,E395)</f>
        <v>0</v>
      </c>
    </row>
    <row r="396" spans="3:6" x14ac:dyDescent="0.25">
      <c r="C396" s="30">
        <f>COUNTIF(PlanAktarılacakSayfa!C:C,B396)</f>
        <v>0</v>
      </c>
      <c r="E396" t="s">
        <v>922</v>
      </c>
      <c r="F396" s="33">
        <f>COUNTIF(PlanAktarılacakSayfa!C:C,E396)</f>
        <v>0</v>
      </c>
    </row>
    <row r="397" spans="3:6" x14ac:dyDescent="0.25">
      <c r="C397" s="30">
        <f>COUNTIF(PlanAktarılacakSayfa!C:C,B397)</f>
        <v>0</v>
      </c>
      <c r="E397" t="s">
        <v>923</v>
      </c>
      <c r="F397" s="33">
        <f>COUNTIF(PlanAktarılacakSayfa!C:C,E397)</f>
        <v>0</v>
      </c>
    </row>
    <row r="398" spans="3:6" x14ac:dyDescent="0.25">
      <c r="C398" s="30">
        <f>COUNTIF(PlanAktarılacakSayfa!C:C,B398)</f>
        <v>0</v>
      </c>
      <c r="E398" t="s">
        <v>924</v>
      </c>
      <c r="F398" s="33">
        <f>COUNTIF(PlanAktarılacakSayfa!C:C,E398)</f>
        <v>0</v>
      </c>
    </row>
    <row r="399" spans="3:6" x14ac:dyDescent="0.25">
      <c r="C399" s="30">
        <f>COUNTIF(PlanAktarılacakSayfa!C:C,B399)</f>
        <v>0</v>
      </c>
      <c r="E399" t="s">
        <v>925</v>
      </c>
      <c r="F399" s="33">
        <f>COUNTIF(PlanAktarılacakSayfa!C:C,E399)</f>
        <v>0</v>
      </c>
    </row>
    <row r="400" spans="3:6" x14ac:dyDescent="0.25">
      <c r="C400" s="30">
        <f>COUNTIF(PlanAktarılacakSayfa!C:C,B400)</f>
        <v>0</v>
      </c>
      <c r="E400" t="s">
        <v>926</v>
      </c>
      <c r="F400" s="33">
        <f>COUNTIF(PlanAktarılacakSayfa!C:C,E400)</f>
        <v>0</v>
      </c>
    </row>
    <row r="401" spans="3:6" x14ac:dyDescent="0.25">
      <c r="C401" s="30">
        <f>COUNTIF(PlanAktarılacakSayfa!C:C,B401)</f>
        <v>0</v>
      </c>
      <c r="E401" t="s">
        <v>927</v>
      </c>
      <c r="F401" s="33">
        <f>COUNTIF(PlanAktarılacakSayfa!C:C,E401)</f>
        <v>0</v>
      </c>
    </row>
    <row r="402" spans="3:6" x14ac:dyDescent="0.25">
      <c r="C402" s="30">
        <f>COUNTIF(PlanAktarılacakSayfa!C:C,B402)</f>
        <v>0</v>
      </c>
      <c r="E402" t="s">
        <v>928</v>
      </c>
      <c r="F402" s="33">
        <f>COUNTIF(PlanAktarılacakSayfa!C:C,E402)</f>
        <v>0</v>
      </c>
    </row>
    <row r="403" spans="3:6" x14ac:dyDescent="0.25">
      <c r="C403" s="30">
        <f>COUNTIF(PlanAktarılacakSayfa!C:C,B403)</f>
        <v>0</v>
      </c>
      <c r="E403" t="s">
        <v>929</v>
      </c>
      <c r="F403" s="33">
        <f>COUNTIF(PlanAktarılacakSayfa!C:C,E403)</f>
        <v>0</v>
      </c>
    </row>
    <row r="404" spans="3:6" x14ac:dyDescent="0.25">
      <c r="C404" s="30">
        <f>COUNTIF(PlanAktarılacakSayfa!C:C,B404)</f>
        <v>0</v>
      </c>
      <c r="E404" t="s">
        <v>930</v>
      </c>
      <c r="F404" s="33">
        <f>COUNTIF(PlanAktarılacakSayfa!C:C,E404)</f>
        <v>0</v>
      </c>
    </row>
    <row r="405" spans="3:6" x14ac:dyDescent="0.25">
      <c r="C405" s="30">
        <f>COUNTIF(PlanAktarılacakSayfa!C:C,B405)</f>
        <v>0</v>
      </c>
      <c r="E405" t="s">
        <v>931</v>
      </c>
      <c r="F405" s="33">
        <f>COUNTIF(PlanAktarılacakSayfa!C:C,E405)</f>
        <v>0</v>
      </c>
    </row>
    <row r="406" spans="3:6" x14ac:dyDescent="0.25">
      <c r="C406" s="30">
        <f>COUNTIF(PlanAktarılacakSayfa!C:C,B406)</f>
        <v>0</v>
      </c>
      <c r="E406" t="s">
        <v>932</v>
      </c>
      <c r="F406" s="33">
        <f>COUNTIF(PlanAktarılacakSayfa!C:C,E406)</f>
        <v>0</v>
      </c>
    </row>
    <row r="407" spans="3:6" x14ac:dyDescent="0.25">
      <c r="C407" s="30">
        <f>COUNTIF(PlanAktarılacakSayfa!C:C,B407)</f>
        <v>0</v>
      </c>
      <c r="E407" t="s">
        <v>933</v>
      </c>
      <c r="F407" s="33">
        <f>COUNTIF(PlanAktarılacakSayfa!C:C,E407)</f>
        <v>0</v>
      </c>
    </row>
    <row r="408" spans="3:6" x14ac:dyDescent="0.25">
      <c r="C408" s="30">
        <f>COUNTIF(PlanAktarılacakSayfa!C:C,B408)</f>
        <v>0</v>
      </c>
      <c r="E408" t="s">
        <v>934</v>
      </c>
      <c r="F408" s="33">
        <f>COUNTIF(PlanAktarılacakSayfa!C:C,E408)</f>
        <v>0</v>
      </c>
    </row>
    <row r="409" spans="3:6" x14ac:dyDescent="0.25">
      <c r="C409" s="30">
        <f>COUNTIF(PlanAktarılacakSayfa!C:C,B409)</f>
        <v>0</v>
      </c>
      <c r="E409" t="s">
        <v>935</v>
      </c>
      <c r="F409" s="33">
        <f>COUNTIF(PlanAktarılacakSayfa!C:C,E409)</f>
        <v>0</v>
      </c>
    </row>
    <row r="410" spans="3:6" x14ac:dyDescent="0.25">
      <c r="C410" s="30">
        <f>COUNTIF(PlanAktarılacakSayfa!C:C,B410)</f>
        <v>0</v>
      </c>
      <c r="E410" t="s">
        <v>936</v>
      </c>
      <c r="F410" s="33">
        <f>COUNTIF(PlanAktarılacakSayfa!C:C,E410)</f>
        <v>0</v>
      </c>
    </row>
    <row r="411" spans="3:6" x14ac:dyDescent="0.25">
      <c r="C411" s="30">
        <f>COUNTIF(PlanAktarılacakSayfa!C:C,B411)</f>
        <v>0</v>
      </c>
      <c r="E411" t="s">
        <v>937</v>
      </c>
      <c r="F411" s="33">
        <f>COUNTIF(PlanAktarılacakSayfa!C:C,E411)</f>
        <v>0</v>
      </c>
    </row>
    <row r="412" spans="3:6" x14ac:dyDescent="0.25">
      <c r="C412" s="30">
        <f>COUNTIF(PlanAktarılacakSayfa!C:C,B412)</f>
        <v>0</v>
      </c>
      <c r="E412" t="s">
        <v>938</v>
      </c>
      <c r="F412" s="33">
        <f>COUNTIF(PlanAktarılacakSayfa!C:C,E412)</f>
        <v>0</v>
      </c>
    </row>
    <row r="413" spans="3:6" x14ac:dyDescent="0.25">
      <c r="C413" s="30">
        <f>COUNTIF(PlanAktarılacakSayfa!C:C,B413)</f>
        <v>0</v>
      </c>
      <c r="E413" t="s">
        <v>939</v>
      </c>
      <c r="F413" s="33">
        <f>COUNTIF(PlanAktarılacakSayfa!C:C,E413)</f>
        <v>0</v>
      </c>
    </row>
    <row r="414" spans="3:6" x14ac:dyDescent="0.25">
      <c r="C414" s="30">
        <f>COUNTIF(PlanAktarılacakSayfa!C:C,B414)</f>
        <v>0</v>
      </c>
      <c r="E414" t="s">
        <v>940</v>
      </c>
      <c r="F414" s="33">
        <f>COUNTIF(PlanAktarılacakSayfa!C:C,E414)</f>
        <v>0</v>
      </c>
    </row>
    <row r="415" spans="3:6" x14ac:dyDescent="0.25">
      <c r="C415" s="30">
        <f>COUNTIF(PlanAktarılacakSayfa!C:C,B415)</f>
        <v>0</v>
      </c>
      <c r="E415" t="s">
        <v>941</v>
      </c>
      <c r="F415" s="33">
        <f>COUNTIF(PlanAktarılacakSayfa!C:C,E415)</f>
        <v>0</v>
      </c>
    </row>
    <row r="416" spans="3:6" x14ac:dyDescent="0.25">
      <c r="C416" s="30">
        <f>COUNTIF(PlanAktarılacakSayfa!C:C,B416)</f>
        <v>0</v>
      </c>
      <c r="E416" t="s">
        <v>942</v>
      </c>
      <c r="F416" s="33">
        <f>COUNTIF(PlanAktarılacakSayfa!C:C,E416)</f>
        <v>0</v>
      </c>
    </row>
    <row r="417" spans="3:6" x14ac:dyDescent="0.25">
      <c r="C417" s="30">
        <f>COUNTIF(PlanAktarılacakSayfa!C:C,B417)</f>
        <v>0</v>
      </c>
      <c r="E417" t="s">
        <v>943</v>
      </c>
      <c r="F417" s="33">
        <f>COUNTIF(PlanAktarılacakSayfa!C:C,E417)</f>
        <v>0</v>
      </c>
    </row>
    <row r="418" spans="3:6" x14ac:dyDescent="0.25">
      <c r="C418" s="30">
        <f>COUNTIF(PlanAktarılacakSayfa!C:C,B418)</f>
        <v>0</v>
      </c>
      <c r="E418" t="s">
        <v>944</v>
      </c>
      <c r="F418" s="33">
        <f>COUNTIF(PlanAktarılacakSayfa!C:C,E418)</f>
        <v>0</v>
      </c>
    </row>
    <row r="419" spans="3:6" x14ac:dyDescent="0.25">
      <c r="C419" s="30">
        <f>COUNTIF(PlanAktarılacakSayfa!C:C,B419)</f>
        <v>0</v>
      </c>
      <c r="E419" t="s">
        <v>945</v>
      </c>
      <c r="F419" s="33">
        <f>COUNTIF(PlanAktarılacakSayfa!C:C,E419)</f>
        <v>0</v>
      </c>
    </row>
    <row r="420" spans="3:6" x14ac:dyDescent="0.25">
      <c r="C420" s="30">
        <f>COUNTIF(PlanAktarılacakSayfa!C:C,B420)</f>
        <v>0</v>
      </c>
      <c r="E420" t="s">
        <v>946</v>
      </c>
      <c r="F420" s="33">
        <f>COUNTIF(PlanAktarılacakSayfa!C:C,E420)</f>
        <v>0</v>
      </c>
    </row>
    <row r="421" spans="3:6" x14ac:dyDescent="0.25">
      <c r="C421" s="30">
        <f>COUNTIF(PlanAktarılacakSayfa!C:C,B421)</f>
        <v>0</v>
      </c>
      <c r="E421" t="s">
        <v>947</v>
      </c>
      <c r="F421" s="33">
        <f>COUNTIF(PlanAktarılacakSayfa!C:C,E421)</f>
        <v>0</v>
      </c>
    </row>
    <row r="422" spans="3:6" x14ac:dyDescent="0.25">
      <c r="C422" s="30">
        <f>COUNTIF(PlanAktarılacakSayfa!C:C,B422)</f>
        <v>0</v>
      </c>
      <c r="E422" t="s">
        <v>948</v>
      </c>
      <c r="F422" s="33">
        <f>COUNTIF(PlanAktarılacakSayfa!C:C,E422)</f>
        <v>0</v>
      </c>
    </row>
    <row r="423" spans="3:6" x14ac:dyDescent="0.25">
      <c r="C423" s="30">
        <f>COUNTIF(PlanAktarılacakSayfa!C:C,B423)</f>
        <v>0</v>
      </c>
      <c r="E423" t="s">
        <v>949</v>
      </c>
      <c r="F423" s="33">
        <f>COUNTIF(PlanAktarılacakSayfa!C:C,E423)</f>
        <v>0</v>
      </c>
    </row>
    <row r="424" spans="3:6" x14ac:dyDescent="0.25">
      <c r="C424" s="30">
        <f>COUNTIF(PlanAktarılacakSayfa!C:C,B424)</f>
        <v>0</v>
      </c>
      <c r="E424" t="s">
        <v>950</v>
      </c>
      <c r="F424" s="33">
        <f>COUNTIF(PlanAktarılacakSayfa!C:C,E424)</f>
        <v>0</v>
      </c>
    </row>
    <row r="425" spans="3:6" x14ac:dyDescent="0.25">
      <c r="C425" s="30">
        <f>COUNTIF(PlanAktarılacakSayfa!C:C,B425)</f>
        <v>0</v>
      </c>
      <c r="E425" t="s">
        <v>951</v>
      </c>
      <c r="F425" s="33">
        <f>COUNTIF(PlanAktarılacakSayfa!C:C,E425)</f>
        <v>0</v>
      </c>
    </row>
    <row r="426" spans="3:6" x14ac:dyDescent="0.25">
      <c r="C426" s="30">
        <f>COUNTIF(PlanAktarılacakSayfa!C:C,B426)</f>
        <v>0</v>
      </c>
      <c r="E426" t="s">
        <v>952</v>
      </c>
      <c r="F426" s="33">
        <f>COUNTIF(PlanAktarılacakSayfa!C:C,E426)</f>
        <v>0</v>
      </c>
    </row>
    <row r="427" spans="3:6" x14ac:dyDescent="0.25">
      <c r="C427" s="30">
        <f>COUNTIF(PlanAktarılacakSayfa!C:C,B427)</f>
        <v>0</v>
      </c>
      <c r="E427" t="s">
        <v>953</v>
      </c>
      <c r="F427" s="33">
        <f>COUNTIF(PlanAktarılacakSayfa!C:C,E427)</f>
        <v>0</v>
      </c>
    </row>
    <row r="428" spans="3:6" x14ac:dyDescent="0.25">
      <c r="C428" s="30">
        <f>COUNTIF(PlanAktarılacakSayfa!C:C,B428)</f>
        <v>0</v>
      </c>
      <c r="E428" t="s">
        <v>954</v>
      </c>
      <c r="F428" s="33">
        <f>COUNTIF(PlanAktarılacakSayfa!C:C,E428)</f>
        <v>0</v>
      </c>
    </row>
    <row r="429" spans="3:6" x14ac:dyDescent="0.25">
      <c r="C429" s="30">
        <f>COUNTIF(PlanAktarılacakSayfa!C:C,B429)</f>
        <v>0</v>
      </c>
      <c r="E429" t="s">
        <v>955</v>
      </c>
      <c r="F429" s="33">
        <f>COUNTIF(PlanAktarılacakSayfa!C:C,E429)</f>
        <v>0</v>
      </c>
    </row>
    <row r="430" spans="3:6" x14ac:dyDescent="0.25">
      <c r="C430" s="30">
        <f>COUNTIF(PlanAktarılacakSayfa!C:C,B430)</f>
        <v>0</v>
      </c>
      <c r="E430" t="s">
        <v>956</v>
      </c>
      <c r="F430" s="33">
        <f>COUNTIF(PlanAktarılacakSayfa!C:C,E430)</f>
        <v>0</v>
      </c>
    </row>
    <row r="431" spans="3:6" x14ac:dyDescent="0.25">
      <c r="C431" s="30">
        <f>COUNTIF(PlanAktarılacakSayfa!C:C,B431)</f>
        <v>0</v>
      </c>
      <c r="E431" t="s">
        <v>957</v>
      </c>
      <c r="F431" s="33">
        <f>COUNTIF(PlanAktarılacakSayfa!C:C,E431)</f>
        <v>0</v>
      </c>
    </row>
    <row r="432" spans="3:6" x14ac:dyDescent="0.25">
      <c r="C432" s="30">
        <f>COUNTIF(PlanAktarılacakSayfa!C:C,B432)</f>
        <v>0</v>
      </c>
      <c r="E432" t="s">
        <v>958</v>
      </c>
      <c r="F432" s="33">
        <f>COUNTIF(PlanAktarılacakSayfa!C:C,E432)</f>
        <v>0</v>
      </c>
    </row>
    <row r="433" spans="3:6" x14ac:dyDescent="0.25">
      <c r="C433" s="30">
        <f>COUNTIF(PlanAktarılacakSayfa!C:C,B433)</f>
        <v>0</v>
      </c>
      <c r="E433" t="s">
        <v>959</v>
      </c>
      <c r="F433" s="33">
        <f>COUNTIF(PlanAktarılacakSayfa!C:C,E433)</f>
        <v>0</v>
      </c>
    </row>
    <row r="434" spans="3:6" x14ac:dyDescent="0.25">
      <c r="C434" s="30">
        <f>COUNTIF(PlanAktarılacakSayfa!C:C,B434)</f>
        <v>0</v>
      </c>
      <c r="E434" t="s">
        <v>960</v>
      </c>
      <c r="F434" s="33">
        <f>COUNTIF(PlanAktarılacakSayfa!C:C,E434)</f>
        <v>0</v>
      </c>
    </row>
    <row r="435" spans="3:6" x14ac:dyDescent="0.25">
      <c r="C435" s="30">
        <f>COUNTIF(PlanAktarılacakSayfa!C:C,B435)</f>
        <v>0</v>
      </c>
      <c r="E435" t="s">
        <v>961</v>
      </c>
      <c r="F435" s="33">
        <f>COUNTIF(PlanAktarılacakSayfa!C:C,E435)</f>
        <v>0</v>
      </c>
    </row>
    <row r="436" spans="3:6" x14ac:dyDescent="0.25">
      <c r="C436" s="30">
        <f>COUNTIF(PlanAktarılacakSayfa!C:C,B436)</f>
        <v>0</v>
      </c>
      <c r="E436" t="s">
        <v>962</v>
      </c>
      <c r="F436" s="33">
        <f>COUNTIF(PlanAktarılacakSayfa!C:C,E436)</f>
        <v>0</v>
      </c>
    </row>
    <row r="437" spans="3:6" x14ac:dyDescent="0.25">
      <c r="C437" s="30">
        <f>COUNTIF(PlanAktarılacakSayfa!C:C,B437)</f>
        <v>0</v>
      </c>
      <c r="E437" t="s">
        <v>963</v>
      </c>
      <c r="F437" s="33">
        <f>COUNTIF(PlanAktarılacakSayfa!C:C,E437)</f>
        <v>0</v>
      </c>
    </row>
    <row r="438" spans="3:6" x14ac:dyDescent="0.25">
      <c r="C438" s="30">
        <f>COUNTIF(PlanAktarılacakSayfa!C:C,B438)</f>
        <v>0</v>
      </c>
      <c r="E438" t="s">
        <v>964</v>
      </c>
      <c r="F438" s="33">
        <f>COUNTIF(PlanAktarılacakSayfa!C:C,E438)</f>
        <v>0</v>
      </c>
    </row>
    <row r="439" spans="3:6" x14ac:dyDescent="0.25">
      <c r="C439" s="30">
        <f>COUNTIF(PlanAktarılacakSayfa!C:C,B439)</f>
        <v>0</v>
      </c>
      <c r="E439" t="s">
        <v>965</v>
      </c>
      <c r="F439" s="33">
        <f>COUNTIF(PlanAktarılacakSayfa!C:C,E439)</f>
        <v>0</v>
      </c>
    </row>
    <row r="440" spans="3:6" x14ac:dyDescent="0.25">
      <c r="C440" s="30">
        <f>COUNTIF(PlanAktarılacakSayfa!C:C,B440)</f>
        <v>0</v>
      </c>
      <c r="E440" t="s">
        <v>966</v>
      </c>
      <c r="F440" s="33">
        <f>COUNTIF(PlanAktarılacakSayfa!C:C,E440)</f>
        <v>0</v>
      </c>
    </row>
    <row r="441" spans="3:6" x14ac:dyDescent="0.25">
      <c r="C441" s="30">
        <f>COUNTIF(PlanAktarılacakSayfa!C:C,B441)</f>
        <v>0</v>
      </c>
      <c r="E441" t="s">
        <v>967</v>
      </c>
      <c r="F441" s="33">
        <f>COUNTIF(PlanAktarılacakSayfa!C:C,E441)</f>
        <v>0</v>
      </c>
    </row>
    <row r="442" spans="3:6" x14ac:dyDescent="0.25">
      <c r="C442" s="30">
        <f>COUNTIF(PlanAktarılacakSayfa!C:C,B442)</f>
        <v>0</v>
      </c>
      <c r="E442" t="s">
        <v>968</v>
      </c>
      <c r="F442" s="33">
        <f>COUNTIF(PlanAktarılacakSayfa!C:C,E442)</f>
        <v>0</v>
      </c>
    </row>
    <row r="443" spans="3:6" x14ac:dyDescent="0.25">
      <c r="C443" s="30">
        <f>COUNTIF(PlanAktarılacakSayfa!C:C,B443)</f>
        <v>0</v>
      </c>
      <c r="E443" t="s">
        <v>969</v>
      </c>
      <c r="F443" s="33">
        <f>COUNTIF(PlanAktarılacakSayfa!C:C,E443)</f>
        <v>0</v>
      </c>
    </row>
    <row r="444" spans="3:6" x14ac:dyDescent="0.25">
      <c r="C444" s="30">
        <f>COUNTIF(PlanAktarılacakSayfa!C:C,B444)</f>
        <v>0</v>
      </c>
      <c r="E444" t="s">
        <v>970</v>
      </c>
      <c r="F444" s="33">
        <f>COUNTIF(PlanAktarılacakSayfa!C:C,E444)</f>
        <v>0</v>
      </c>
    </row>
    <row r="445" spans="3:6" x14ac:dyDescent="0.25">
      <c r="C445" s="30">
        <f>COUNTIF(PlanAktarılacakSayfa!C:C,B445)</f>
        <v>0</v>
      </c>
      <c r="E445" t="s">
        <v>971</v>
      </c>
      <c r="F445" s="33">
        <f>COUNTIF(PlanAktarılacakSayfa!C:C,E445)</f>
        <v>0</v>
      </c>
    </row>
    <row r="446" spans="3:6" x14ac:dyDescent="0.25">
      <c r="C446" s="30">
        <f>COUNTIF(PlanAktarılacakSayfa!C:C,B446)</f>
        <v>0</v>
      </c>
      <c r="E446" t="s">
        <v>972</v>
      </c>
      <c r="F446" s="33">
        <f>COUNTIF(PlanAktarılacakSayfa!C:C,E446)</f>
        <v>0</v>
      </c>
    </row>
    <row r="447" spans="3:6" x14ac:dyDescent="0.25">
      <c r="C447" s="30">
        <f>COUNTIF(PlanAktarılacakSayfa!C:C,B447)</f>
        <v>0</v>
      </c>
      <c r="E447" t="s">
        <v>973</v>
      </c>
      <c r="F447" s="33">
        <f>COUNTIF(PlanAktarılacakSayfa!C:C,E447)</f>
        <v>0</v>
      </c>
    </row>
    <row r="448" spans="3:6" x14ac:dyDescent="0.25">
      <c r="C448" s="30">
        <f>COUNTIF(PlanAktarılacakSayfa!C:C,B448)</f>
        <v>0</v>
      </c>
      <c r="E448" t="s">
        <v>974</v>
      </c>
      <c r="F448" s="33">
        <f>COUNTIF(PlanAktarılacakSayfa!C:C,E448)</f>
        <v>0</v>
      </c>
    </row>
    <row r="449" spans="3:6" x14ac:dyDescent="0.25">
      <c r="C449" s="30">
        <f>COUNTIF(PlanAktarılacakSayfa!C:C,B449)</f>
        <v>0</v>
      </c>
      <c r="E449" t="s">
        <v>975</v>
      </c>
      <c r="F449" s="33">
        <f>COUNTIF(PlanAktarılacakSayfa!C:C,E449)</f>
        <v>0</v>
      </c>
    </row>
    <row r="450" spans="3:6" x14ac:dyDescent="0.25">
      <c r="C450" s="30">
        <f>COUNTIF(PlanAktarılacakSayfa!C:C,B450)</f>
        <v>0</v>
      </c>
      <c r="E450" t="s">
        <v>976</v>
      </c>
      <c r="F450" s="33">
        <f>COUNTIF(PlanAktarılacakSayfa!C:C,E450)</f>
        <v>0</v>
      </c>
    </row>
    <row r="451" spans="3:6" x14ac:dyDescent="0.25">
      <c r="C451" s="30">
        <f>COUNTIF(PlanAktarılacakSayfa!C:C,B451)</f>
        <v>0</v>
      </c>
      <c r="E451" t="s">
        <v>977</v>
      </c>
      <c r="F451" s="33">
        <f>COUNTIF(PlanAktarılacakSayfa!C:C,E451)</f>
        <v>0</v>
      </c>
    </row>
    <row r="452" spans="3:6" x14ac:dyDescent="0.25">
      <c r="C452" s="30">
        <f>COUNTIF(PlanAktarılacakSayfa!C:C,B452)</f>
        <v>0</v>
      </c>
      <c r="E452" t="s">
        <v>978</v>
      </c>
      <c r="F452" s="33">
        <f>COUNTIF(PlanAktarılacakSayfa!C:C,E452)</f>
        <v>0</v>
      </c>
    </row>
    <row r="453" spans="3:6" x14ac:dyDescent="0.25">
      <c r="C453" s="30">
        <f>COUNTIF(PlanAktarılacakSayfa!C:C,B453)</f>
        <v>0</v>
      </c>
      <c r="E453" t="s">
        <v>979</v>
      </c>
      <c r="F453" s="33">
        <f>COUNTIF(PlanAktarılacakSayfa!C:C,E453)</f>
        <v>0</v>
      </c>
    </row>
    <row r="454" spans="3:6" x14ac:dyDescent="0.25">
      <c r="C454" s="30">
        <f>COUNTIF(PlanAktarılacakSayfa!C:C,B454)</f>
        <v>0</v>
      </c>
      <c r="E454" t="s">
        <v>980</v>
      </c>
      <c r="F454" s="33">
        <f>COUNTIF(PlanAktarılacakSayfa!C:C,E454)</f>
        <v>0</v>
      </c>
    </row>
    <row r="455" spans="3:6" x14ac:dyDescent="0.25">
      <c r="C455" s="30">
        <f>COUNTIF(PlanAktarılacakSayfa!C:C,B455)</f>
        <v>0</v>
      </c>
      <c r="E455" t="s">
        <v>981</v>
      </c>
      <c r="F455" s="33">
        <f>COUNTIF(PlanAktarılacakSayfa!C:C,E455)</f>
        <v>0</v>
      </c>
    </row>
    <row r="456" spans="3:6" x14ac:dyDescent="0.25">
      <c r="C456" s="30">
        <f>COUNTIF(PlanAktarılacakSayfa!C:C,B456)</f>
        <v>0</v>
      </c>
      <c r="E456" t="s">
        <v>982</v>
      </c>
      <c r="F456" s="33">
        <f>COUNTIF(PlanAktarılacakSayfa!C:C,E456)</f>
        <v>0</v>
      </c>
    </row>
    <row r="457" spans="3:6" x14ac:dyDescent="0.25">
      <c r="C457" s="30">
        <f>COUNTIF(PlanAktarılacakSayfa!C:C,B457)</f>
        <v>0</v>
      </c>
      <c r="E457" t="s">
        <v>983</v>
      </c>
      <c r="F457" s="33">
        <f>COUNTIF(PlanAktarılacakSayfa!C:C,E457)</f>
        <v>0</v>
      </c>
    </row>
    <row r="458" spans="3:6" x14ac:dyDescent="0.25">
      <c r="C458" s="30">
        <f>COUNTIF(PlanAktarılacakSayfa!C:C,B458)</f>
        <v>0</v>
      </c>
      <c r="E458" t="s">
        <v>984</v>
      </c>
      <c r="F458" s="33">
        <f>COUNTIF(PlanAktarılacakSayfa!C:C,E458)</f>
        <v>0</v>
      </c>
    </row>
    <row r="459" spans="3:6" x14ac:dyDescent="0.25">
      <c r="C459" s="30">
        <f>COUNTIF(PlanAktarılacakSayfa!C:C,B459)</f>
        <v>0</v>
      </c>
      <c r="E459" t="s">
        <v>985</v>
      </c>
      <c r="F459" s="33">
        <f>COUNTIF(PlanAktarılacakSayfa!C:C,E459)</f>
        <v>0</v>
      </c>
    </row>
    <row r="460" spans="3:6" x14ac:dyDescent="0.25">
      <c r="C460" s="30">
        <f>COUNTIF(PlanAktarılacakSayfa!C:C,B460)</f>
        <v>0</v>
      </c>
      <c r="E460" t="s">
        <v>986</v>
      </c>
      <c r="F460" s="33">
        <f>COUNTIF(PlanAktarılacakSayfa!C:C,E460)</f>
        <v>0</v>
      </c>
    </row>
    <row r="461" spans="3:6" x14ac:dyDescent="0.25">
      <c r="C461" s="30">
        <f>COUNTIF(PlanAktarılacakSayfa!C:C,B461)</f>
        <v>0</v>
      </c>
      <c r="E461" t="s">
        <v>987</v>
      </c>
      <c r="F461" s="33">
        <f>COUNTIF(PlanAktarılacakSayfa!C:C,E461)</f>
        <v>0</v>
      </c>
    </row>
    <row r="462" spans="3:6" x14ac:dyDescent="0.25">
      <c r="C462" s="30">
        <f>COUNTIF(PlanAktarılacakSayfa!C:C,B462)</f>
        <v>0</v>
      </c>
      <c r="E462" t="s">
        <v>988</v>
      </c>
      <c r="F462" s="33">
        <f>COUNTIF(PlanAktarılacakSayfa!C:C,E462)</f>
        <v>0</v>
      </c>
    </row>
    <row r="463" spans="3:6" x14ac:dyDescent="0.25">
      <c r="C463" s="30">
        <f>COUNTIF(PlanAktarılacakSayfa!C:C,B463)</f>
        <v>0</v>
      </c>
      <c r="E463" t="s">
        <v>989</v>
      </c>
      <c r="F463" s="33">
        <f>COUNTIF(PlanAktarılacakSayfa!C:C,E463)</f>
        <v>0</v>
      </c>
    </row>
    <row r="464" spans="3:6" x14ac:dyDescent="0.25">
      <c r="C464" s="30">
        <f>COUNTIF(PlanAktarılacakSayfa!C:C,B464)</f>
        <v>0</v>
      </c>
      <c r="E464" t="s">
        <v>990</v>
      </c>
      <c r="F464" s="33">
        <f>COUNTIF(PlanAktarılacakSayfa!C:C,E464)</f>
        <v>0</v>
      </c>
    </row>
    <row r="465" spans="3:6" x14ac:dyDescent="0.25">
      <c r="C465" s="30">
        <f>COUNTIF(PlanAktarılacakSayfa!C:C,B465)</f>
        <v>0</v>
      </c>
      <c r="E465" t="s">
        <v>991</v>
      </c>
      <c r="F465" s="33">
        <f>COUNTIF(PlanAktarılacakSayfa!C:C,E465)</f>
        <v>0</v>
      </c>
    </row>
    <row r="466" spans="3:6" x14ac:dyDescent="0.25">
      <c r="C466" s="30">
        <f>COUNTIF(PlanAktarılacakSayfa!C:C,B466)</f>
        <v>0</v>
      </c>
      <c r="E466" t="s">
        <v>992</v>
      </c>
      <c r="F466" s="33">
        <f>COUNTIF(PlanAktarılacakSayfa!C:C,E466)</f>
        <v>0</v>
      </c>
    </row>
    <row r="467" spans="3:6" x14ac:dyDescent="0.25">
      <c r="C467" s="30">
        <f>COUNTIF(PlanAktarılacakSayfa!C:C,B467)</f>
        <v>0</v>
      </c>
      <c r="E467" t="s">
        <v>993</v>
      </c>
      <c r="F467" s="33">
        <f>COUNTIF(PlanAktarılacakSayfa!C:C,E467)</f>
        <v>0</v>
      </c>
    </row>
    <row r="468" spans="3:6" x14ac:dyDescent="0.25">
      <c r="C468" s="30">
        <f>COUNTIF(PlanAktarılacakSayfa!C:C,B468)</f>
        <v>0</v>
      </c>
      <c r="E468" t="s">
        <v>994</v>
      </c>
      <c r="F468" s="33">
        <f>COUNTIF(PlanAktarılacakSayfa!C:C,E468)</f>
        <v>0</v>
      </c>
    </row>
    <row r="469" spans="3:6" x14ac:dyDescent="0.25">
      <c r="C469" s="30">
        <f>COUNTIF(PlanAktarılacakSayfa!C:C,B469)</f>
        <v>0</v>
      </c>
      <c r="E469" t="s">
        <v>995</v>
      </c>
      <c r="F469" s="33">
        <f>COUNTIF(PlanAktarılacakSayfa!C:C,E469)</f>
        <v>0</v>
      </c>
    </row>
    <row r="470" spans="3:6" x14ac:dyDescent="0.25">
      <c r="C470" s="30">
        <f>COUNTIF(PlanAktarılacakSayfa!C:C,B470)</f>
        <v>0</v>
      </c>
      <c r="E470" t="s">
        <v>996</v>
      </c>
      <c r="F470" s="33">
        <f>COUNTIF(PlanAktarılacakSayfa!C:C,E470)</f>
        <v>0</v>
      </c>
    </row>
    <row r="471" spans="3:6" x14ac:dyDescent="0.25">
      <c r="C471" s="30">
        <f>COUNTIF(PlanAktarılacakSayfa!C:C,B471)</f>
        <v>0</v>
      </c>
      <c r="E471" t="s">
        <v>997</v>
      </c>
      <c r="F471" s="33">
        <f>COUNTIF(PlanAktarılacakSayfa!C:C,E471)</f>
        <v>0</v>
      </c>
    </row>
    <row r="472" spans="3:6" x14ac:dyDescent="0.25">
      <c r="C472" s="30">
        <f>COUNTIF(PlanAktarılacakSayfa!C:C,B472)</f>
        <v>0</v>
      </c>
      <c r="E472" t="s">
        <v>998</v>
      </c>
      <c r="F472" s="33">
        <f>COUNTIF(PlanAktarılacakSayfa!C:C,E472)</f>
        <v>0</v>
      </c>
    </row>
    <row r="473" spans="3:6" x14ac:dyDescent="0.25">
      <c r="C473" s="30">
        <f>COUNTIF(PlanAktarılacakSayfa!C:C,B473)</f>
        <v>0</v>
      </c>
      <c r="E473" t="s">
        <v>999</v>
      </c>
      <c r="F473" s="33">
        <f>COUNTIF(PlanAktarılacakSayfa!C:C,E473)</f>
        <v>0</v>
      </c>
    </row>
    <row r="474" spans="3:6" x14ac:dyDescent="0.25">
      <c r="C474" s="30">
        <f>COUNTIF(PlanAktarılacakSayfa!C:C,B474)</f>
        <v>0</v>
      </c>
      <c r="E474" t="s">
        <v>1000</v>
      </c>
      <c r="F474" s="33">
        <f>COUNTIF(PlanAktarılacakSayfa!C:C,E474)</f>
        <v>0</v>
      </c>
    </row>
    <row r="475" spans="3:6" x14ac:dyDescent="0.25">
      <c r="C475" s="30">
        <f>COUNTIF(PlanAktarılacakSayfa!C:C,B475)</f>
        <v>0</v>
      </c>
      <c r="E475" t="s">
        <v>1001</v>
      </c>
      <c r="F475" s="33">
        <f>COUNTIF(PlanAktarılacakSayfa!C:C,E475)</f>
        <v>0</v>
      </c>
    </row>
    <row r="476" spans="3:6" x14ac:dyDescent="0.25">
      <c r="C476" s="30">
        <f>COUNTIF(PlanAktarılacakSayfa!C:C,B476)</f>
        <v>0</v>
      </c>
      <c r="E476" t="s">
        <v>1002</v>
      </c>
      <c r="F476" s="33">
        <f>COUNTIF(PlanAktarılacakSayfa!C:C,E476)</f>
        <v>0</v>
      </c>
    </row>
    <row r="477" spans="3:6" x14ac:dyDescent="0.25">
      <c r="C477" s="30">
        <f>COUNTIF(PlanAktarılacakSayfa!C:C,B477)</f>
        <v>0</v>
      </c>
      <c r="E477" t="s">
        <v>1003</v>
      </c>
      <c r="F477" s="33">
        <f>COUNTIF(PlanAktarılacakSayfa!C:C,E477)</f>
        <v>0</v>
      </c>
    </row>
    <row r="478" spans="3:6" x14ac:dyDescent="0.25">
      <c r="C478" s="30">
        <f>COUNTIF(PlanAktarılacakSayfa!C:C,B478)</f>
        <v>0</v>
      </c>
      <c r="E478" t="s">
        <v>1004</v>
      </c>
      <c r="F478" s="33">
        <f>COUNTIF(PlanAktarılacakSayfa!C:C,E478)</f>
        <v>0</v>
      </c>
    </row>
    <row r="479" spans="3:6" x14ac:dyDescent="0.25">
      <c r="C479" s="30">
        <f>COUNTIF(PlanAktarılacakSayfa!C:C,B479)</f>
        <v>0</v>
      </c>
      <c r="E479" t="s">
        <v>1005</v>
      </c>
      <c r="F479" s="33">
        <f>COUNTIF(PlanAktarılacakSayfa!C:C,E479)</f>
        <v>0</v>
      </c>
    </row>
    <row r="480" spans="3:6" x14ac:dyDescent="0.25">
      <c r="C480" s="30">
        <f>COUNTIF(PlanAktarılacakSayfa!C:C,B480)</f>
        <v>0</v>
      </c>
      <c r="E480" t="s">
        <v>1006</v>
      </c>
      <c r="F480" s="33">
        <f>COUNTIF(PlanAktarılacakSayfa!C:C,E480)</f>
        <v>0</v>
      </c>
    </row>
    <row r="481" spans="3:6" x14ac:dyDescent="0.25">
      <c r="C481" s="30">
        <f>COUNTIF(PlanAktarılacakSayfa!C:C,B481)</f>
        <v>0</v>
      </c>
      <c r="E481" t="s">
        <v>1007</v>
      </c>
      <c r="F481" s="33">
        <f>COUNTIF(PlanAktarılacakSayfa!C:C,E481)</f>
        <v>0</v>
      </c>
    </row>
    <row r="482" spans="3:6" x14ac:dyDescent="0.25">
      <c r="C482" s="30">
        <f>COUNTIF(PlanAktarılacakSayfa!C:C,B482)</f>
        <v>0</v>
      </c>
      <c r="E482" t="s">
        <v>1008</v>
      </c>
      <c r="F482" s="33">
        <f>COUNTIF(PlanAktarılacakSayfa!C:C,E482)</f>
        <v>0</v>
      </c>
    </row>
    <row r="483" spans="3:6" x14ac:dyDescent="0.25">
      <c r="C483" s="30">
        <f>COUNTIF(PlanAktarılacakSayfa!C:C,B483)</f>
        <v>0</v>
      </c>
      <c r="E483" t="s">
        <v>1009</v>
      </c>
      <c r="F483" s="33">
        <f>COUNTIF(PlanAktarılacakSayfa!C:C,E483)</f>
        <v>0</v>
      </c>
    </row>
    <row r="484" spans="3:6" x14ac:dyDescent="0.25">
      <c r="C484" s="30">
        <f>COUNTIF(PlanAktarılacakSayfa!C:C,B484)</f>
        <v>0</v>
      </c>
      <c r="E484" t="s">
        <v>1010</v>
      </c>
      <c r="F484" s="33">
        <f>COUNTIF(PlanAktarılacakSayfa!C:C,E484)</f>
        <v>0</v>
      </c>
    </row>
    <row r="485" spans="3:6" x14ac:dyDescent="0.25">
      <c r="C485" s="30">
        <f>COUNTIF(PlanAktarılacakSayfa!C:C,B485)</f>
        <v>0</v>
      </c>
      <c r="E485" t="s">
        <v>1011</v>
      </c>
      <c r="F485" s="33">
        <f>COUNTIF(PlanAktarılacakSayfa!C:C,E485)</f>
        <v>0</v>
      </c>
    </row>
    <row r="486" spans="3:6" x14ac:dyDescent="0.25">
      <c r="C486" s="30">
        <f>COUNTIF(PlanAktarılacakSayfa!C:C,B486)</f>
        <v>0</v>
      </c>
      <c r="E486" t="s">
        <v>1012</v>
      </c>
      <c r="F486" s="33">
        <f>COUNTIF(PlanAktarılacakSayfa!C:C,E486)</f>
        <v>0</v>
      </c>
    </row>
    <row r="487" spans="3:6" x14ac:dyDescent="0.25">
      <c r="C487" s="30">
        <f>COUNTIF(PlanAktarılacakSayfa!C:C,B487)</f>
        <v>0</v>
      </c>
      <c r="E487" t="s">
        <v>1013</v>
      </c>
      <c r="F487" s="33">
        <f>COUNTIF(PlanAktarılacakSayfa!C:C,E487)</f>
        <v>0</v>
      </c>
    </row>
    <row r="488" spans="3:6" x14ac:dyDescent="0.25">
      <c r="C488" s="30">
        <f>COUNTIF(PlanAktarılacakSayfa!C:C,B488)</f>
        <v>0</v>
      </c>
      <c r="E488" t="s">
        <v>1014</v>
      </c>
      <c r="F488" s="33">
        <f>COUNTIF(PlanAktarılacakSayfa!C:C,E488)</f>
        <v>0</v>
      </c>
    </row>
    <row r="489" spans="3:6" x14ac:dyDescent="0.25">
      <c r="C489" s="30">
        <f>COUNTIF(PlanAktarılacakSayfa!C:C,B489)</f>
        <v>0</v>
      </c>
      <c r="E489" t="s">
        <v>1015</v>
      </c>
      <c r="F489" s="33">
        <f>COUNTIF(PlanAktarılacakSayfa!C:C,E489)</f>
        <v>0</v>
      </c>
    </row>
    <row r="490" spans="3:6" x14ac:dyDescent="0.25">
      <c r="C490" s="30">
        <f>COUNTIF(PlanAktarılacakSayfa!C:C,B490)</f>
        <v>0</v>
      </c>
      <c r="E490" t="s">
        <v>1016</v>
      </c>
      <c r="F490" s="33">
        <f>COUNTIF(PlanAktarılacakSayfa!C:C,E490)</f>
        <v>0</v>
      </c>
    </row>
    <row r="491" spans="3:6" x14ac:dyDescent="0.25">
      <c r="C491" s="30">
        <f>COUNTIF(PlanAktarılacakSayfa!C:C,B491)</f>
        <v>0</v>
      </c>
      <c r="E491" t="s">
        <v>1017</v>
      </c>
      <c r="F491" s="33">
        <f>COUNTIF(PlanAktarılacakSayfa!C:C,E491)</f>
        <v>0</v>
      </c>
    </row>
    <row r="492" spans="3:6" x14ac:dyDescent="0.25">
      <c r="C492" s="30">
        <f>COUNTIF(PlanAktarılacakSayfa!C:C,B492)</f>
        <v>0</v>
      </c>
      <c r="E492" t="s">
        <v>1018</v>
      </c>
      <c r="F492" s="33">
        <f>COUNTIF(PlanAktarılacakSayfa!C:C,E492)</f>
        <v>0</v>
      </c>
    </row>
    <row r="493" spans="3:6" x14ac:dyDescent="0.25">
      <c r="C493" s="30">
        <f>COUNTIF(PlanAktarılacakSayfa!C:C,B493)</f>
        <v>0</v>
      </c>
      <c r="E493" t="s">
        <v>1019</v>
      </c>
      <c r="F493" s="33">
        <f>COUNTIF(PlanAktarılacakSayfa!C:C,E493)</f>
        <v>0</v>
      </c>
    </row>
    <row r="494" spans="3:6" x14ac:dyDescent="0.25">
      <c r="C494" s="30">
        <f>COUNTIF(PlanAktarılacakSayfa!C:C,B494)</f>
        <v>0</v>
      </c>
      <c r="E494" t="s">
        <v>1020</v>
      </c>
      <c r="F494" s="33">
        <f>COUNTIF(PlanAktarılacakSayfa!C:C,E494)</f>
        <v>0</v>
      </c>
    </row>
    <row r="495" spans="3:6" x14ac:dyDescent="0.25">
      <c r="C495" s="30">
        <f>COUNTIF(PlanAktarılacakSayfa!C:C,B495)</f>
        <v>0</v>
      </c>
      <c r="E495" t="s">
        <v>1021</v>
      </c>
      <c r="F495" s="33">
        <f>COUNTIF(PlanAktarılacakSayfa!C:C,E495)</f>
        <v>0</v>
      </c>
    </row>
    <row r="496" spans="3:6" x14ac:dyDescent="0.25">
      <c r="C496" s="30">
        <f>COUNTIF(PlanAktarılacakSayfa!C:C,B496)</f>
        <v>0</v>
      </c>
      <c r="E496" t="s">
        <v>1022</v>
      </c>
      <c r="F496" s="33">
        <f>COUNTIF(PlanAktarılacakSayfa!C:C,E496)</f>
        <v>0</v>
      </c>
    </row>
    <row r="497" spans="3:6" x14ac:dyDescent="0.25">
      <c r="C497" s="30">
        <f>COUNTIF(PlanAktarılacakSayfa!C:C,B497)</f>
        <v>0</v>
      </c>
      <c r="E497" t="s">
        <v>1023</v>
      </c>
      <c r="F497" s="33">
        <f>COUNTIF(PlanAktarılacakSayfa!C:C,E497)</f>
        <v>0</v>
      </c>
    </row>
    <row r="498" spans="3:6" x14ac:dyDescent="0.25">
      <c r="C498" s="30">
        <f>COUNTIF(PlanAktarılacakSayfa!C:C,B498)</f>
        <v>0</v>
      </c>
      <c r="E498" t="s">
        <v>1024</v>
      </c>
      <c r="F498" s="33">
        <f>COUNTIF(PlanAktarılacakSayfa!C:C,E498)</f>
        <v>0</v>
      </c>
    </row>
    <row r="499" spans="3:6" x14ac:dyDescent="0.25">
      <c r="C499" s="30">
        <f>COUNTIF(PlanAktarılacakSayfa!C:C,B499)</f>
        <v>0</v>
      </c>
      <c r="E499" t="s">
        <v>1025</v>
      </c>
      <c r="F499" s="33">
        <f>COUNTIF(PlanAktarılacakSayfa!C:C,E499)</f>
        <v>0</v>
      </c>
    </row>
    <row r="500" spans="3:6" x14ac:dyDescent="0.25">
      <c r="C500" s="30">
        <f>COUNTIF(PlanAktarılacakSayfa!C:C,B500)</f>
        <v>0</v>
      </c>
      <c r="E500" t="s">
        <v>1026</v>
      </c>
      <c r="F500" s="33">
        <f>COUNTIF(PlanAktarılacakSayfa!C:C,E500)</f>
        <v>0</v>
      </c>
    </row>
    <row r="501" spans="3:6" x14ac:dyDescent="0.25">
      <c r="C501" s="30">
        <f>COUNTIF(PlanAktarılacakSayfa!C:C,B501)</f>
        <v>0</v>
      </c>
      <c r="E501" t="s">
        <v>1027</v>
      </c>
      <c r="F501" s="33">
        <f>COUNTIF(PlanAktarılacakSayfa!C:C,E501)</f>
        <v>0</v>
      </c>
    </row>
    <row r="502" spans="3:6" x14ac:dyDescent="0.25">
      <c r="C502" s="30">
        <f>COUNTIF(PlanAktarılacakSayfa!C:C,B502)</f>
        <v>0</v>
      </c>
      <c r="E502" t="s">
        <v>1028</v>
      </c>
      <c r="F502" s="33">
        <f>COUNTIF(PlanAktarılacakSayfa!C:C,E502)</f>
        <v>0</v>
      </c>
    </row>
    <row r="503" spans="3:6" x14ac:dyDescent="0.25">
      <c r="C503" s="30">
        <f>COUNTIF(PlanAktarılacakSayfa!C:C,B503)</f>
        <v>0</v>
      </c>
      <c r="E503" t="s">
        <v>1029</v>
      </c>
      <c r="F503" s="33">
        <f>COUNTIF(PlanAktarılacakSayfa!C:C,E503)</f>
        <v>0</v>
      </c>
    </row>
    <row r="504" spans="3:6" x14ac:dyDescent="0.25">
      <c r="C504" s="30">
        <f>COUNTIF(PlanAktarılacakSayfa!C:C,B504)</f>
        <v>0</v>
      </c>
      <c r="E504" t="s">
        <v>1030</v>
      </c>
      <c r="F504" s="33">
        <f>COUNTIF(PlanAktarılacakSayfa!C:C,E504)</f>
        <v>0</v>
      </c>
    </row>
    <row r="505" spans="3:6" x14ac:dyDescent="0.25">
      <c r="C505" s="30">
        <f>COUNTIF(PlanAktarılacakSayfa!C:C,B505)</f>
        <v>0</v>
      </c>
      <c r="E505" t="s">
        <v>1031</v>
      </c>
      <c r="F505" s="33">
        <f>COUNTIF(PlanAktarılacakSayfa!C:C,E505)</f>
        <v>0</v>
      </c>
    </row>
    <row r="506" spans="3:6" x14ac:dyDescent="0.25">
      <c r="C506" s="30">
        <f>COUNTIF(PlanAktarılacakSayfa!C:C,B506)</f>
        <v>0</v>
      </c>
      <c r="E506" t="s">
        <v>1032</v>
      </c>
      <c r="F506" s="33">
        <f>COUNTIF(PlanAktarılacakSayfa!C:C,E506)</f>
        <v>0</v>
      </c>
    </row>
    <row r="507" spans="3:6" x14ac:dyDescent="0.25">
      <c r="C507" s="30">
        <f>COUNTIF(PlanAktarılacakSayfa!C:C,B507)</f>
        <v>0</v>
      </c>
      <c r="E507" t="s">
        <v>1033</v>
      </c>
      <c r="F507" s="33">
        <f>COUNTIF(PlanAktarılacakSayfa!C:C,E507)</f>
        <v>0</v>
      </c>
    </row>
    <row r="508" spans="3:6" x14ac:dyDescent="0.25">
      <c r="C508" s="30">
        <f>COUNTIF(PlanAktarılacakSayfa!C:C,B508)</f>
        <v>0</v>
      </c>
      <c r="E508" t="s">
        <v>1034</v>
      </c>
      <c r="F508" s="33">
        <f>COUNTIF(PlanAktarılacakSayfa!C:C,E508)</f>
        <v>0</v>
      </c>
    </row>
    <row r="509" spans="3:6" x14ac:dyDescent="0.25">
      <c r="C509" s="30">
        <f>COUNTIF(PlanAktarılacakSayfa!C:C,B509)</f>
        <v>0</v>
      </c>
      <c r="E509" t="s">
        <v>1035</v>
      </c>
      <c r="F509" s="33">
        <f>COUNTIF(PlanAktarılacakSayfa!C:C,E509)</f>
        <v>0</v>
      </c>
    </row>
    <row r="510" spans="3:6" x14ac:dyDescent="0.25">
      <c r="C510" s="30">
        <f>COUNTIF(PlanAktarılacakSayfa!C:C,B510)</f>
        <v>0</v>
      </c>
      <c r="E510" t="s">
        <v>1036</v>
      </c>
      <c r="F510" s="33">
        <f>COUNTIF(PlanAktarılacakSayfa!C:C,E510)</f>
        <v>0</v>
      </c>
    </row>
    <row r="511" spans="3:6" x14ac:dyDescent="0.25">
      <c r="C511" s="30">
        <f>COUNTIF(PlanAktarılacakSayfa!C:C,B511)</f>
        <v>0</v>
      </c>
      <c r="E511" t="s">
        <v>1037</v>
      </c>
      <c r="F511" s="33">
        <f>COUNTIF(PlanAktarılacakSayfa!C:C,E511)</f>
        <v>0</v>
      </c>
    </row>
    <row r="512" spans="3:6" x14ac:dyDescent="0.25">
      <c r="C512" s="30">
        <f>COUNTIF(PlanAktarılacakSayfa!C:C,B512)</f>
        <v>0</v>
      </c>
      <c r="E512" t="s">
        <v>1038</v>
      </c>
      <c r="F512" s="33">
        <f>COUNTIF(PlanAktarılacakSayfa!C:C,E512)</f>
        <v>0</v>
      </c>
    </row>
    <row r="513" spans="3:6" x14ac:dyDescent="0.25">
      <c r="C513" s="30">
        <f>COUNTIF(PlanAktarılacakSayfa!C:C,B513)</f>
        <v>0</v>
      </c>
      <c r="E513" t="s">
        <v>1039</v>
      </c>
      <c r="F513" s="33">
        <f>COUNTIF(PlanAktarılacakSayfa!C:C,E513)</f>
        <v>0</v>
      </c>
    </row>
    <row r="514" spans="3:6" x14ac:dyDescent="0.25">
      <c r="C514" s="30">
        <f>COUNTIF(PlanAktarılacakSayfa!C:C,B514)</f>
        <v>0</v>
      </c>
      <c r="E514" t="s">
        <v>1040</v>
      </c>
      <c r="F514" s="33">
        <f>COUNTIF(PlanAktarılacakSayfa!C:C,E514)</f>
        <v>0</v>
      </c>
    </row>
    <row r="515" spans="3:6" x14ac:dyDescent="0.25">
      <c r="C515" s="30">
        <f>COUNTIF(PlanAktarılacakSayfa!C:C,B515)</f>
        <v>0</v>
      </c>
      <c r="E515" t="s">
        <v>1041</v>
      </c>
      <c r="F515" s="33">
        <f>COUNTIF(PlanAktarılacakSayfa!C:C,E515)</f>
        <v>0</v>
      </c>
    </row>
    <row r="516" spans="3:6" x14ac:dyDescent="0.25">
      <c r="C516" s="30">
        <f>COUNTIF(PlanAktarılacakSayfa!C:C,B516)</f>
        <v>0</v>
      </c>
      <c r="E516" t="s">
        <v>1042</v>
      </c>
      <c r="F516" s="33">
        <f>COUNTIF(PlanAktarılacakSayfa!C:C,E516)</f>
        <v>0</v>
      </c>
    </row>
    <row r="517" spans="3:6" x14ac:dyDescent="0.25">
      <c r="C517" s="30">
        <f>COUNTIF(PlanAktarılacakSayfa!C:C,B517)</f>
        <v>0</v>
      </c>
      <c r="E517" t="s">
        <v>1043</v>
      </c>
      <c r="F517" s="33">
        <f>COUNTIF(PlanAktarılacakSayfa!C:C,E517)</f>
        <v>0</v>
      </c>
    </row>
    <row r="518" spans="3:6" x14ac:dyDescent="0.25">
      <c r="C518" s="30">
        <f>COUNTIF(PlanAktarılacakSayfa!C:C,B518)</f>
        <v>0</v>
      </c>
      <c r="E518" t="s">
        <v>1044</v>
      </c>
      <c r="F518" s="33">
        <f>COUNTIF(PlanAktarılacakSayfa!C:C,E518)</f>
        <v>0</v>
      </c>
    </row>
    <row r="519" spans="3:6" x14ac:dyDescent="0.25">
      <c r="C519" s="30">
        <f>COUNTIF(PlanAktarılacakSayfa!C:C,B519)</f>
        <v>0</v>
      </c>
      <c r="E519" t="s">
        <v>1045</v>
      </c>
      <c r="F519" s="33">
        <f>COUNTIF(PlanAktarılacakSayfa!C:C,E519)</f>
        <v>0</v>
      </c>
    </row>
    <row r="520" spans="3:6" x14ac:dyDescent="0.25">
      <c r="C520" s="30">
        <f>COUNTIF(PlanAktarılacakSayfa!C:C,B520)</f>
        <v>0</v>
      </c>
      <c r="E520" t="s">
        <v>1046</v>
      </c>
      <c r="F520" s="33">
        <f>COUNTIF(PlanAktarılacakSayfa!C:C,E520)</f>
        <v>0</v>
      </c>
    </row>
    <row r="521" spans="3:6" x14ac:dyDescent="0.25">
      <c r="C521" s="30">
        <f>COUNTIF(PlanAktarılacakSayfa!C:C,B521)</f>
        <v>0</v>
      </c>
      <c r="E521" t="s">
        <v>1047</v>
      </c>
      <c r="F521" s="33">
        <f>COUNTIF(PlanAktarılacakSayfa!C:C,E521)</f>
        <v>0</v>
      </c>
    </row>
    <row r="522" spans="3:6" x14ac:dyDescent="0.25">
      <c r="C522" s="30">
        <f>COUNTIF(PlanAktarılacakSayfa!C:C,B522)</f>
        <v>0</v>
      </c>
      <c r="E522" t="s">
        <v>1048</v>
      </c>
      <c r="F522" s="33">
        <f>COUNTIF(PlanAktarılacakSayfa!C:C,E522)</f>
        <v>0</v>
      </c>
    </row>
    <row r="523" spans="3:6" x14ac:dyDescent="0.25">
      <c r="C523" s="30">
        <f>COUNTIF(PlanAktarılacakSayfa!C:C,B523)</f>
        <v>0</v>
      </c>
      <c r="E523" t="s">
        <v>1049</v>
      </c>
      <c r="F523" s="33">
        <f>COUNTIF(PlanAktarılacakSayfa!C:C,E523)</f>
        <v>0</v>
      </c>
    </row>
    <row r="524" spans="3:6" x14ac:dyDescent="0.25">
      <c r="C524" s="30">
        <f>COUNTIF(PlanAktarılacakSayfa!C:C,B524)</f>
        <v>0</v>
      </c>
      <c r="E524" t="s">
        <v>1050</v>
      </c>
      <c r="F524" s="33">
        <f>COUNTIF(PlanAktarılacakSayfa!C:C,E524)</f>
        <v>0</v>
      </c>
    </row>
    <row r="525" spans="3:6" x14ac:dyDescent="0.25">
      <c r="C525" s="30">
        <f>COUNTIF(PlanAktarılacakSayfa!C:C,B525)</f>
        <v>0</v>
      </c>
      <c r="E525" t="s">
        <v>1051</v>
      </c>
      <c r="F525" s="33">
        <f>COUNTIF(PlanAktarılacakSayfa!C:C,E525)</f>
        <v>0</v>
      </c>
    </row>
    <row r="526" spans="3:6" x14ac:dyDescent="0.25">
      <c r="C526" s="30">
        <f>COUNTIF(PlanAktarılacakSayfa!C:C,B526)</f>
        <v>0</v>
      </c>
      <c r="E526" t="s">
        <v>1052</v>
      </c>
      <c r="F526" s="33">
        <f>COUNTIF(PlanAktarılacakSayfa!C:C,E526)</f>
        <v>0</v>
      </c>
    </row>
    <row r="527" spans="3:6" x14ac:dyDescent="0.25">
      <c r="C527" s="30">
        <f>COUNTIF(PlanAktarılacakSayfa!C:C,B527)</f>
        <v>0</v>
      </c>
      <c r="E527" t="s">
        <v>1053</v>
      </c>
      <c r="F527" s="33">
        <f>COUNTIF(PlanAktarılacakSayfa!C:C,E527)</f>
        <v>0</v>
      </c>
    </row>
    <row r="528" spans="3:6" x14ac:dyDescent="0.25">
      <c r="C528" s="30">
        <f>COUNTIF(PlanAktarılacakSayfa!C:C,B528)</f>
        <v>0</v>
      </c>
      <c r="E528" t="s">
        <v>1054</v>
      </c>
      <c r="F528" s="33">
        <f>COUNTIF(PlanAktarılacakSayfa!C:C,E528)</f>
        <v>0</v>
      </c>
    </row>
    <row r="529" spans="3:6" x14ac:dyDescent="0.25">
      <c r="C529" s="30">
        <f>COUNTIF(PlanAktarılacakSayfa!C:C,B529)</f>
        <v>0</v>
      </c>
      <c r="E529" t="s">
        <v>1055</v>
      </c>
      <c r="F529" s="33">
        <f>COUNTIF(PlanAktarılacakSayfa!C:C,E529)</f>
        <v>0</v>
      </c>
    </row>
    <row r="530" spans="3:6" x14ac:dyDescent="0.25">
      <c r="C530" s="30">
        <f>COUNTIF(PlanAktarılacakSayfa!C:C,B530)</f>
        <v>0</v>
      </c>
      <c r="E530" t="s">
        <v>1056</v>
      </c>
      <c r="F530" s="33">
        <f>COUNTIF(PlanAktarılacakSayfa!C:C,E530)</f>
        <v>0</v>
      </c>
    </row>
    <row r="531" spans="3:6" x14ac:dyDescent="0.25">
      <c r="C531" s="30">
        <f>COUNTIF(PlanAktarılacakSayfa!C:C,B531)</f>
        <v>0</v>
      </c>
      <c r="E531" t="s">
        <v>1057</v>
      </c>
      <c r="F531" s="33">
        <f>COUNTIF(PlanAktarılacakSayfa!C:C,E531)</f>
        <v>0</v>
      </c>
    </row>
    <row r="532" spans="3:6" x14ac:dyDescent="0.25">
      <c r="C532" s="30">
        <f>COUNTIF(PlanAktarılacakSayfa!C:C,B532)</f>
        <v>0</v>
      </c>
      <c r="E532" t="s">
        <v>1058</v>
      </c>
      <c r="F532" s="33">
        <f>COUNTIF(PlanAktarılacakSayfa!C:C,E532)</f>
        <v>0</v>
      </c>
    </row>
    <row r="533" spans="3:6" x14ac:dyDescent="0.25">
      <c r="C533" s="30">
        <f>COUNTIF(PlanAktarılacakSayfa!C:C,B533)</f>
        <v>0</v>
      </c>
      <c r="E533" t="s">
        <v>1059</v>
      </c>
      <c r="F533" s="33">
        <f>COUNTIF(PlanAktarılacakSayfa!C:C,E533)</f>
        <v>0</v>
      </c>
    </row>
    <row r="534" spans="3:6" x14ac:dyDescent="0.25">
      <c r="C534" s="30">
        <f>COUNTIF(PlanAktarılacakSayfa!C:C,B534)</f>
        <v>0</v>
      </c>
      <c r="E534" t="s">
        <v>1060</v>
      </c>
      <c r="F534" s="33">
        <f>COUNTIF(PlanAktarılacakSayfa!C:C,E534)</f>
        <v>0</v>
      </c>
    </row>
    <row r="535" spans="3:6" x14ac:dyDescent="0.25">
      <c r="C535" s="30">
        <f>COUNTIF(PlanAktarılacakSayfa!C:C,B535)</f>
        <v>0</v>
      </c>
      <c r="E535" t="s">
        <v>1061</v>
      </c>
      <c r="F535" s="33">
        <f>COUNTIF(PlanAktarılacakSayfa!C:C,E535)</f>
        <v>0</v>
      </c>
    </row>
    <row r="536" spans="3:6" x14ac:dyDescent="0.25">
      <c r="C536" s="30">
        <f>COUNTIF(PlanAktarılacakSayfa!C:C,B536)</f>
        <v>0</v>
      </c>
      <c r="E536" t="s">
        <v>1062</v>
      </c>
      <c r="F536" s="33">
        <f>COUNTIF(PlanAktarılacakSayfa!C:C,E536)</f>
        <v>0</v>
      </c>
    </row>
    <row r="537" spans="3:6" x14ac:dyDescent="0.25">
      <c r="C537" s="30">
        <f>COUNTIF(PlanAktarılacakSayfa!C:C,B537)</f>
        <v>0</v>
      </c>
      <c r="E537" t="s">
        <v>1063</v>
      </c>
      <c r="F537" s="33">
        <f>COUNTIF(PlanAktarılacakSayfa!C:C,E537)</f>
        <v>0</v>
      </c>
    </row>
    <row r="538" spans="3:6" x14ac:dyDescent="0.25">
      <c r="C538" s="30">
        <f>COUNTIF(PlanAktarılacakSayfa!C:C,B538)</f>
        <v>0</v>
      </c>
      <c r="E538" t="s">
        <v>1064</v>
      </c>
      <c r="F538" s="33">
        <f>COUNTIF(PlanAktarılacakSayfa!C:C,E538)</f>
        <v>0</v>
      </c>
    </row>
    <row r="539" spans="3:6" x14ac:dyDescent="0.25">
      <c r="C539" s="30">
        <f>COUNTIF(PlanAktarılacakSayfa!C:C,B539)</f>
        <v>0</v>
      </c>
      <c r="E539" t="s">
        <v>1065</v>
      </c>
      <c r="F539" s="33">
        <f>COUNTIF(PlanAktarılacakSayfa!C:C,E539)</f>
        <v>0</v>
      </c>
    </row>
    <row r="540" spans="3:6" x14ac:dyDescent="0.25">
      <c r="C540" s="30">
        <f>COUNTIF(PlanAktarılacakSayfa!C:C,B540)</f>
        <v>0</v>
      </c>
      <c r="E540" t="s">
        <v>1066</v>
      </c>
      <c r="F540" s="33">
        <f>COUNTIF(PlanAktarılacakSayfa!C:C,E540)</f>
        <v>0</v>
      </c>
    </row>
    <row r="541" spans="3:6" x14ac:dyDescent="0.25">
      <c r="C541" s="30">
        <f>COUNTIF(PlanAktarılacakSayfa!C:C,B541)</f>
        <v>0</v>
      </c>
      <c r="E541" t="s">
        <v>1067</v>
      </c>
      <c r="F541" s="33">
        <f>COUNTIF(PlanAktarılacakSayfa!C:C,E541)</f>
        <v>0</v>
      </c>
    </row>
    <row r="542" spans="3:6" x14ac:dyDescent="0.25">
      <c r="C542" s="30">
        <f>COUNTIF(PlanAktarılacakSayfa!C:C,B542)</f>
        <v>0</v>
      </c>
      <c r="E542" t="s">
        <v>1068</v>
      </c>
      <c r="F542" s="33">
        <f>COUNTIF(PlanAktarılacakSayfa!C:C,E542)</f>
        <v>0</v>
      </c>
    </row>
    <row r="543" spans="3:6" x14ac:dyDescent="0.25">
      <c r="C543" s="30">
        <f>COUNTIF(PlanAktarılacakSayfa!C:C,B543)</f>
        <v>0</v>
      </c>
      <c r="E543" t="s">
        <v>1069</v>
      </c>
      <c r="F543" s="33">
        <f>COUNTIF(PlanAktarılacakSayfa!C:C,E543)</f>
        <v>0</v>
      </c>
    </row>
    <row r="544" spans="3:6" x14ac:dyDescent="0.25">
      <c r="C544" s="30">
        <f>COUNTIF(PlanAktarılacakSayfa!C:C,B544)</f>
        <v>0</v>
      </c>
      <c r="E544" t="s">
        <v>1070</v>
      </c>
      <c r="F544" s="33">
        <f>COUNTIF(PlanAktarılacakSayfa!C:C,E544)</f>
        <v>0</v>
      </c>
    </row>
    <row r="545" spans="3:6" x14ac:dyDescent="0.25">
      <c r="C545" s="30">
        <f>COUNTIF(PlanAktarılacakSayfa!C:C,B545)</f>
        <v>0</v>
      </c>
      <c r="E545" t="s">
        <v>1071</v>
      </c>
      <c r="F545" s="33">
        <f>COUNTIF(PlanAktarılacakSayfa!C:C,E545)</f>
        <v>0</v>
      </c>
    </row>
    <row r="546" spans="3:6" x14ac:dyDescent="0.25">
      <c r="C546" s="30">
        <f>COUNTIF(PlanAktarılacakSayfa!C:C,B546)</f>
        <v>0</v>
      </c>
      <c r="E546" t="s">
        <v>1072</v>
      </c>
      <c r="F546" s="33">
        <f>COUNTIF(PlanAktarılacakSayfa!C:C,E546)</f>
        <v>0</v>
      </c>
    </row>
    <row r="547" spans="3:6" x14ac:dyDescent="0.25">
      <c r="C547" s="30">
        <f>COUNTIF(PlanAktarılacakSayfa!C:C,B547)</f>
        <v>0</v>
      </c>
      <c r="E547" t="s">
        <v>1073</v>
      </c>
      <c r="F547" s="33">
        <f>COUNTIF(PlanAktarılacakSayfa!C:C,E547)</f>
        <v>0</v>
      </c>
    </row>
    <row r="548" spans="3:6" x14ac:dyDescent="0.25">
      <c r="C548" s="30">
        <f>COUNTIF(PlanAktarılacakSayfa!C:C,B548)</f>
        <v>0</v>
      </c>
      <c r="E548" t="s">
        <v>1074</v>
      </c>
      <c r="F548" s="33">
        <f>COUNTIF(PlanAktarılacakSayfa!C:C,E548)</f>
        <v>0</v>
      </c>
    </row>
    <row r="549" spans="3:6" x14ac:dyDescent="0.25">
      <c r="C549" s="30">
        <f>COUNTIF(PlanAktarılacakSayfa!C:C,B549)</f>
        <v>0</v>
      </c>
      <c r="E549" t="s">
        <v>1075</v>
      </c>
      <c r="F549" s="33">
        <f>COUNTIF(PlanAktarılacakSayfa!C:C,E549)</f>
        <v>0</v>
      </c>
    </row>
    <row r="550" spans="3:6" x14ac:dyDescent="0.25">
      <c r="C550" s="30">
        <f>COUNTIF(PlanAktarılacakSayfa!C:C,B550)</f>
        <v>0</v>
      </c>
      <c r="F550" s="33">
        <f>COUNTIF(PlanAktarılacakSayfa!C:C,E550)</f>
        <v>0</v>
      </c>
    </row>
    <row r="551" spans="3:6" x14ac:dyDescent="0.25">
      <c r="C551" s="30">
        <f>COUNTIF(PlanAktarılacakSayfa!C:C,B551)</f>
        <v>0</v>
      </c>
      <c r="F551" s="33">
        <f>COUNTIF(PlanAktarılacakSayfa!C:C,E551)</f>
        <v>0</v>
      </c>
    </row>
    <row r="552" spans="3:6" x14ac:dyDescent="0.25">
      <c r="C552" s="30">
        <f>COUNTIF(PlanAktarılacakSayfa!C:C,B552)</f>
        <v>0</v>
      </c>
      <c r="F552" s="33">
        <f>COUNTIF(PlanAktarılacakSayfa!C:C,E552)</f>
        <v>0</v>
      </c>
    </row>
    <row r="553" spans="3:6" x14ac:dyDescent="0.25">
      <c r="C553" s="30">
        <f>COUNTIF(PlanAktarılacakSayfa!C:C,B553)</f>
        <v>0</v>
      </c>
      <c r="F553" s="33">
        <f>COUNTIF(PlanAktarılacakSayfa!C:C,E553)</f>
        <v>0</v>
      </c>
    </row>
    <row r="554" spans="3:6" x14ac:dyDescent="0.25">
      <c r="C554" s="30">
        <f>COUNTIF(PlanAktarılacakSayfa!C:C,B554)</f>
        <v>0</v>
      </c>
      <c r="F554" s="33">
        <f>COUNTIF(PlanAktarılacakSayfa!C:C,E554)</f>
        <v>0</v>
      </c>
    </row>
    <row r="555" spans="3:6" x14ac:dyDescent="0.25">
      <c r="C555" s="30">
        <f>COUNTIF(PlanAktarılacakSayfa!C:C,B555)</f>
        <v>0</v>
      </c>
      <c r="F555" s="33">
        <f>COUNTIF(PlanAktarılacakSayfa!C:C,E555)</f>
        <v>0</v>
      </c>
    </row>
    <row r="556" spans="3:6" x14ac:dyDescent="0.25">
      <c r="C556" s="30">
        <f>COUNTIF(PlanAktarılacakSayfa!C:C,B556)</f>
        <v>0</v>
      </c>
      <c r="F556" s="33">
        <f>COUNTIF(PlanAktarılacakSayfa!C:C,E556)</f>
        <v>0</v>
      </c>
    </row>
    <row r="557" spans="3:6" x14ac:dyDescent="0.25">
      <c r="C557" s="30">
        <f>COUNTIF(PlanAktarılacakSayfa!C:C,B557)</f>
        <v>0</v>
      </c>
      <c r="F557" s="33">
        <f>COUNTIF(PlanAktarılacakSayfa!C:C,E557)</f>
        <v>0</v>
      </c>
    </row>
    <row r="558" spans="3:6" x14ac:dyDescent="0.25">
      <c r="C558" s="30">
        <f>COUNTIF(PlanAktarılacakSayfa!C:C,B558)</f>
        <v>0</v>
      </c>
      <c r="F558" s="33">
        <f>COUNTIF(PlanAktarılacakSayfa!C:C,E558)</f>
        <v>0</v>
      </c>
    </row>
    <row r="559" spans="3:6" x14ac:dyDescent="0.25">
      <c r="C559" s="30">
        <f>COUNTIF(PlanAktarılacakSayfa!C:C,B559)</f>
        <v>0</v>
      </c>
      <c r="F559" s="33">
        <f>COUNTIF(PlanAktarılacakSayfa!C:C,E559)</f>
        <v>0</v>
      </c>
    </row>
    <row r="560" spans="3:6" x14ac:dyDescent="0.25">
      <c r="C560" s="30">
        <f>COUNTIF(PlanAktarılacakSayfa!C:C,B560)</f>
        <v>0</v>
      </c>
      <c r="F560" s="33">
        <f>COUNTIF(PlanAktarılacakSayfa!C:C,E560)</f>
        <v>0</v>
      </c>
    </row>
    <row r="561" spans="3:6" x14ac:dyDescent="0.25">
      <c r="C561" s="30">
        <f>COUNTIF(PlanAktarılacakSayfa!C:C,B561)</f>
        <v>0</v>
      </c>
      <c r="F561" s="33">
        <f>COUNTIF(PlanAktarılacakSayfa!C:C,E561)</f>
        <v>0</v>
      </c>
    </row>
    <row r="562" spans="3:6" x14ac:dyDescent="0.25">
      <c r="C562" s="30">
        <f>COUNTIF(PlanAktarılacakSayfa!C:C,B562)</f>
        <v>0</v>
      </c>
      <c r="F562" s="33">
        <f>COUNTIF(PlanAktarılacakSayfa!C:C,E562)</f>
        <v>0</v>
      </c>
    </row>
    <row r="563" spans="3:6" x14ac:dyDescent="0.25">
      <c r="C563" s="30">
        <f>COUNTIF(PlanAktarılacakSayfa!C:C,B563)</f>
        <v>0</v>
      </c>
      <c r="F563" s="33">
        <f>COUNTIF(PlanAktarılacakSayfa!C:C,E563)</f>
        <v>0</v>
      </c>
    </row>
    <row r="564" spans="3:6" x14ac:dyDescent="0.25">
      <c r="C564" s="30">
        <f>COUNTIF(PlanAktarılacakSayfa!C:C,B564)</f>
        <v>0</v>
      </c>
      <c r="F564" s="33">
        <f>COUNTIF(PlanAktarılacakSayfa!C:C,E564)</f>
        <v>0</v>
      </c>
    </row>
    <row r="565" spans="3:6" x14ac:dyDescent="0.25">
      <c r="C565" s="30">
        <f>COUNTIF(PlanAktarılacakSayfa!C:C,B565)</f>
        <v>0</v>
      </c>
      <c r="F565" s="33">
        <f>COUNTIF(PlanAktarılacakSayfa!C:C,E565)</f>
        <v>0</v>
      </c>
    </row>
    <row r="566" spans="3:6" x14ac:dyDescent="0.25">
      <c r="C566" s="30">
        <f>COUNTIF(PlanAktarılacakSayfa!C:C,B566)</f>
        <v>0</v>
      </c>
      <c r="F566" s="33">
        <f>COUNTIF(PlanAktarılacakSayfa!C:C,E566)</f>
        <v>0</v>
      </c>
    </row>
    <row r="567" spans="3:6" x14ac:dyDescent="0.25">
      <c r="C567" s="30">
        <f>COUNTIF(PlanAktarılacakSayfa!C:C,B567)</f>
        <v>0</v>
      </c>
      <c r="F567" s="33">
        <f>COUNTIF(PlanAktarılacakSayfa!C:C,E567)</f>
        <v>0</v>
      </c>
    </row>
    <row r="568" spans="3:6" x14ac:dyDescent="0.25">
      <c r="C568" s="30">
        <f>COUNTIF(PlanAktarılacakSayfa!C:C,B568)</f>
        <v>0</v>
      </c>
      <c r="F568" s="33">
        <f>COUNTIF(PlanAktarılacakSayfa!C:C,E568)</f>
        <v>0</v>
      </c>
    </row>
    <row r="569" spans="3:6" x14ac:dyDescent="0.25">
      <c r="C569" s="30">
        <f>COUNTIF(PlanAktarılacakSayfa!C:C,B569)</f>
        <v>0</v>
      </c>
      <c r="F569" s="33">
        <f>COUNTIF(PlanAktarılacakSayfa!C:C,E569)</f>
        <v>0</v>
      </c>
    </row>
    <row r="570" spans="3:6" x14ac:dyDescent="0.25">
      <c r="C570" s="30">
        <f>COUNTIF(PlanAktarılacakSayfa!C:C,B570)</f>
        <v>0</v>
      </c>
      <c r="F570" s="33">
        <f>COUNTIF(PlanAktarılacakSayfa!C:C,E570)</f>
        <v>0</v>
      </c>
    </row>
    <row r="571" spans="3:6" x14ac:dyDescent="0.25">
      <c r="C571" s="30">
        <f>COUNTIF(PlanAktarılacakSayfa!C:C,B571)</f>
        <v>0</v>
      </c>
      <c r="F571" s="33">
        <f>COUNTIF(PlanAktarılacakSayfa!C:C,E571)</f>
        <v>0</v>
      </c>
    </row>
    <row r="572" spans="3:6" x14ac:dyDescent="0.25">
      <c r="C572" s="30">
        <f>COUNTIF(PlanAktarılacakSayfa!C:C,B572)</f>
        <v>0</v>
      </c>
      <c r="F572" s="33">
        <f>COUNTIF(PlanAktarılacakSayfa!C:C,E572)</f>
        <v>0</v>
      </c>
    </row>
    <row r="573" spans="3:6" x14ac:dyDescent="0.25">
      <c r="C573" s="30">
        <f>COUNTIF(PlanAktarılacakSayfa!C:C,B573)</f>
        <v>0</v>
      </c>
      <c r="F573" s="33">
        <f>COUNTIF(PlanAktarılacakSayfa!C:C,E573)</f>
        <v>0</v>
      </c>
    </row>
    <row r="574" spans="3:6" x14ac:dyDescent="0.25">
      <c r="C574" s="30">
        <f>COUNTIF(PlanAktarılacakSayfa!C:C,B574)</f>
        <v>0</v>
      </c>
      <c r="F574" s="33">
        <f>COUNTIF(PlanAktarılacakSayfa!C:C,E574)</f>
        <v>0</v>
      </c>
    </row>
    <row r="575" spans="3:6" x14ac:dyDescent="0.25">
      <c r="C575" s="30">
        <f>COUNTIF(PlanAktarılacakSayfa!C:C,B575)</f>
        <v>0</v>
      </c>
      <c r="F575" s="33">
        <f>COUNTIF(PlanAktarılacakSayfa!C:C,E575)</f>
        <v>0</v>
      </c>
    </row>
    <row r="576" spans="3:6" x14ac:dyDescent="0.25">
      <c r="C576" s="30">
        <f>COUNTIF(PlanAktarılacakSayfa!C:C,B576)</f>
        <v>0</v>
      </c>
      <c r="F576" s="33">
        <f>COUNTIF(PlanAktarılacakSayfa!C:C,E576)</f>
        <v>0</v>
      </c>
    </row>
    <row r="577" spans="3:6" x14ac:dyDescent="0.25">
      <c r="C577" s="30">
        <f>COUNTIF(PlanAktarılacakSayfa!C:C,B577)</f>
        <v>0</v>
      </c>
      <c r="F577" s="33">
        <f>COUNTIF(PlanAktarılacakSayfa!C:C,E577)</f>
        <v>0</v>
      </c>
    </row>
    <row r="578" spans="3:6" x14ac:dyDescent="0.25">
      <c r="C578" s="30">
        <f>COUNTIF(PlanAktarılacakSayfa!C:C,B578)</f>
        <v>0</v>
      </c>
      <c r="F578" s="33">
        <f>COUNTIF(PlanAktarılacakSayfa!C:C,E578)</f>
        <v>0</v>
      </c>
    </row>
    <row r="579" spans="3:6" x14ac:dyDescent="0.25">
      <c r="C579" s="30">
        <f>COUNTIF(PlanAktarılacakSayfa!C:C,B579)</f>
        <v>0</v>
      </c>
      <c r="F579" s="33">
        <f>COUNTIF(PlanAktarılacakSayfa!C:C,E579)</f>
        <v>0</v>
      </c>
    </row>
    <row r="580" spans="3:6" x14ac:dyDescent="0.25">
      <c r="C580" s="30">
        <f>COUNTIF(PlanAktarılacakSayfa!C:C,B580)</f>
        <v>0</v>
      </c>
      <c r="F580" s="33">
        <f>COUNTIF(PlanAktarılacakSayfa!C:C,E580)</f>
        <v>0</v>
      </c>
    </row>
    <row r="581" spans="3:6" x14ac:dyDescent="0.25">
      <c r="C581" s="30">
        <f>COUNTIF(PlanAktarılacakSayfa!C:C,B581)</f>
        <v>0</v>
      </c>
      <c r="F581" s="33">
        <f>COUNTIF(PlanAktarılacakSayfa!C:C,E581)</f>
        <v>0</v>
      </c>
    </row>
    <row r="582" spans="3:6" x14ac:dyDescent="0.25">
      <c r="C582" s="30">
        <f>COUNTIF(PlanAktarılacakSayfa!C:C,B582)</f>
        <v>0</v>
      </c>
      <c r="F582" s="33">
        <f>COUNTIF(PlanAktarılacakSayfa!C:C,E582)</f>
        <v>0</v>
      </c>
    </row>
    <row r="583" spans="3:6" x14ac:dyDescent="0.25">
      <c r="C583" s="30">
        <f>COUNTIF(PlanAktarılacakSayfa!C:C,B583)</f>
        <v>0</v>
      </c>
      <c r="F583" s="33">
        <f>COUNTIF(PlanAktarılacakSayfa!C:C,E583)</f>
        <v>0</v>
      </c>
    </row>
    <row r="584" spans="3:6" x14ac:dyDescent="0.25">
      <c r="C584" s="30">
        <f>COUNTIF(PlanAktarılacakSayfa!C:C,B584)</f>
        <v>0</v>
      </c>
      <c r="F584" s="33">
        <f>COUNTIF(PlanAktarılacakSayfa!C:C,E584)</f>
        <v>0</v>
      </c>
    </row>
    <row r="585" spans="3:6" x14ac:dyDescent="0.25">
      <c r="C585" s="30">
        <f>COUNTIF(PlanAktarılacakSayfa!C:C,B585)</f>
        <v>0</v>
      </c>
      <c r="F585" s="33">
        <f>COUNTIF(PlanAktarılacakSayfa!C:C,E585)</f>
        <v>0</v>
      </c>
    </row>
    <row r="586" spans="3:6" x14ac:dyDescent="0.25">
      <c r="C586" s="30">
        <f>COUNTIF(PlanAktarılacakSayfa!C:C,B586)</f>
        <v>0</v>
      </c>
      <c r="F586" s="33">
        <f>COUNTIF(PlanAktarılacakSayfa!C:C,E586)</f>
        <v>0</v>
      </c>
    </row>
    <row r="587" spans="3:6" x14ac:dyDescent="0.25">
      <c r="C587" s="30">
        <f>COUNTIF(PlanAktarılacakSayfa!C:C,B587)</f>
        <v>0</v>
      </c>
      <c r="F587" s="33">
        <f>COUNTIF(PlanAktarılacakSayfa!C:C,E587)</f>
        <v>0</v>
      </c>
    </row>
    <row r="588" spans="3:6" x14ac:dyDescent="0.25">
      <c r="C588" s="30">
        <f>COUNTIF(PlanAktarılacakSayfa!C:C,B588)</f>
        <v>0</v>
      </c>
      <c r="F588" s="33">
        <f>COUNTIF(PlanAktarılacakSayfa!C:C,E588)</f>
        <v>0</v>
      </c>
    </row>
    <row r="589" spans="3:6" x14ac:dyDescent="0.25">
      <c r="C589" s="30">
        <f>COUNTIF(PlanAktarılacakSayfa!C:C,B589)</f>
        <v>0</v>
      </c>
      <c r="F589" s="33">
        <f>COUNTIF(PlanAktarılacakSayfa!C:C,E589)</f>
        <v>0</v>
      </c>
    </row>
    <row r="590" spans="3:6" x14ac:dyDescent="0.25">
      <c r="C590" s="30">
        <f>COUNTIF(PlanAktarılacakSayfa!C:C,B590)</f>
        <v>0</v>
      </c>
      <c r="F590" s="33">
        <f>COUNTIF(PlanAktarılacakSayfa!C:C,E590)</f>
        <v>0</v>
      </c>
    </row>
    <row r="591" spans="3:6" x14ac:dyDescent="0.25">
      <c r="C591" s="30">
        <f>COUNTIF(PlanAktarılacakSayfa!C:C,B591)</f>
        <v>0</v>
      </c>
      <c r="F591" s="33">
        <f>COUNTIF(PlanAktarılacakSayfa!C:C,E591)</f>
        <v>0</v>
      </c>
    </row>
    <row r="592" spans="3:6" x14ac:dyDescent="0.25">
      <c r="C592" s="30">
        <f>COUNTIF(PlanAktarılacakSayfa!C:C,B592)</f>
        <v>0</v>
      </c>
      <c r="F592" s="33">
        <f>COUNTIF(PlanAktarılacakSayfa!C:C,E592)</f>
        <v>0</v>
      </c>
    </row>
    <row r="593" spans="3:6" x14ac:dyDescent="0.25">
      <c r="C593" s="30">
        <f>COUNTIF(PlanAktarılacakSayfa!C:C,B593)</f>
        <v>0</v>
      </c>
      <c r="F593" s="33">
        <f>COUNTIF(PlanAktarılacakSayfa!C:C,E593)</f>
        <v>0</v>
      </c>
    </row>
    <row r="594" spans="3:6" x14ac:dyDescent="0.25">
      <c r="C594" s="30">
        <f>COUNTIF(PlanAktarılacakSayfa!C:C,B594)</f>
        <v>0</v>
      </c>
      <c r="F594" s="33">
        <f>COUNTIF(PlanAktarılacakSayfa!C:C,E594)</f>
        <v>0</v>
      </c>
    </row>
    <row r="595" spans="3:6" x14ac:dyDescent="0.25">
      <c r="C595" s="30">
        <f>COUNTIF(PlanAktarılacakSayfa!C:C,B595)</f>
        <v>0</v>
      </c>
      <c r="F595" s="33">
        <f>COUNTIF(PlanAktarılacakSayfa!C:C,E595)</f>
        <v>0</v>
      </c>
    </row>
    <row r="596" spans="3:6" x14ac:dyDescent="0.25">
      <c r="C596" s="30">
        <f>COUNTIF(PlanAktarılacakSayfa!C:C,B596)</f>
        <v>0</v>
      </c>
      <c r="F596" s="33">
        <f>COUNTIF(PlanAktarılacakSayfa!C:C,E596)</f>
        <v>0</v>
      </c>
    </row>
    <row r="597" spans="3:6" x14ac:dyDescent="0.25">
      <c r="C597" s="30">
        <f>COUNTIF(PlanAktarılacakSayfa!C:C,B597)</f>
        <v>0</v>
      </c>
      <c r="F597" s="33">
        <f>COUNTIF(PlanAktarılacakSayfa!C:C,E597)</f>
        <v>0</v>
      </c>
    </row>
    <row r="598" spans="3:6" x14ac:dyDescent="0.25">
      <c r="C598" s="30">
        <f>COUNTIF(PlanAktarılacakSayfa!C:C,B598)</f>
        <v>0</v>
      </c>
      <c r="F598" s="33">
        <f>COUNTIF(PlanAktarılacakSayfa!C:C,E598)</f>
        <v>0</v>
      </c>
    </row>
    <row r="599" spans="3:6" x14ac:dyDescent="0.25">
      <c r="C599" s="30">
        <f>COUNTIF(PlanAktarılacakSayfa!C:C,B599)</f>
        <v>0</v>
      </c>
      <c r="F599" s="33">
        <f>COUNTIF(PlanAktarılacakSayfa!C:C,E599)</f>
        <v>0</v>
      </c>
    </row>
    <row r="600" spans="3:6" x14ac:dyDescent="0.25">
      <c r="C600" s="30">
        <f>COUNTIF(PlanAktarılacakSayfa!C:C,B600)</f>
        <v>0</v>
      </c>
      <c r="F600" s="33">
        <f>COUNTIF(PlanAktarılacakSayfa!C:C,E600)</f>
        <v>0</v>
      </c>
    </row>
    <row r="601" spans="3:6" x14ac:dyDescent="0.25">
      <c r="C601" s="30">
        <f>COUNTIF(PlanAktarılacakSayfa!C:C,B601)</f>
        <v>0</v>
      </c>
      <c r="F601" s="33">
        <f>COUNTIF(PlanAktarılacakSayfa!C:C,E601)</f>
        <v>0</v>
      </c>
    </row>
    <row r="602" spans="3:6" x14ac:dyDescent="0.25">
      <c r="C602" s="30">
        <f>COUNTIF(PlanAktarılacakSayfa!C:C,B602)</f>
        <v>0</v>
      </c>
      <c r="F602" s="33">
        <f>COUNTIF(PlanAktarılacakSayfa!C:C,E602)</f>
        <v>0</v>
      </c>
    </row>
    <row r="603" spans="3:6" x14ac:dyDescent="0.25">
      <c r="C603" s="30">
        <f>COUNTIF(PlanAktarılacakSayfa!C:C,B603)</f>
        <v>0</v>
      </c>
      <c r="F603" s="33">
        <f>COUNTIF(PlanAktarılacakSayfa!C:C,E603)</f>
        <v>0</v>
      </c>
    </row>
    <row r="604" spans="3:6" x14ac:dyDescent="0.25">
      <c r="C604" s="30">
        <f>COUNTIF(PlanAktarılacakSayfa!C:C,B604)</f>
        <v>0</v>
      </c>
      <c r="F604" s="33">
        <f>COUNTIF(PlanAktarılacakSayfa!C:C,E604)</f>
        <v>0</v>
      </c>
    </row>
    <row r="605" spans="3:6" x14ac:dyDescent="0.25">
      <c r="C605" s="30">
        <f>COUNTIF(PlanAktarılacakSayfa!C:C,B605)</f>
        <v>0</v>
      </c>
      <c r="F605" s="33">
        <f>COUNTIF(PlanAktarılacakSayfa!C:C,E605)</f>
        <v>0</v>
      </c>
    </row>
    <row r="606" spans="3:6" x14ac:dyDescent="0.25">
      <c r="C606" s="30">
        <f>COUNTIF(PlanAktarılacakSayfa!C:C,B606)</f>
        <v>0</v>
      </c>
      <c r="F606" s="33">
        <f>COUNTIF(PlanAktarılacakSayfa!C:C,E606)</f>
        <v>0</v>
      </c>
    </row>
    <row r="607" spans="3:6" x14ac:dyDescent="0.25">
      <c r="C607" s="30">
        <f>COUNTIF(PlanAktarılacakSayfa!C:C,B607)</f>
        <v>0</v>
      </c>
      <c r="F607" s="33">
        <f>COUNTIF(PlanAktarılacakSayfa!C:C,E607)</f>
        <v>0</v>
      </c>
    </row>
    <row r="608" spans="3:6" x14ac:dyDescent="0.25">
      <c r="C608" s="30">
        <f>COUNTIF(PlanAktarılacakSayfa!C:C,B608)</f>
        <v>0</v>
      </c>
      <c r="F608" s="33">
        <f>COUNTIF(PlanAktarılacakSayfa!C:C,E608)</f>
        <v>0</v>
      </c>
    </row>
    <row r="609" spans="3:6" x14ac:dyDescent="0.25">
      <c r="C609" s="30">
        <f>COUNTIF(PlanAktarılacakSayfa!C:C,B609)</f>
        <v>0</v>
      </c>
      <c r="F609" s="33">
        <f>COUNTIF(PlanAktarılacakSayfa!C:C,E609)</f>
        <v>0</v>
      </c>
    </row>
    <row r="610" spans="3:6" x14ac:dyDescent="0.25">
      <c r="C610" s="30">
        <f>COUNTIF(PlanAktarılacakSayfa!C:C,B610)</f>
        <v>0</v>
      </c>
      <c r="F610" s="33">
        <f>COUNTIF(PlanAktarılacakSayfa!C:C,E610)</f>
        <v>0</v>
      </c>
    </row>
    <row r="611" spans="3:6" x14ac:dyDescent="0.25">
      <c r="C611" s="30">
        <f>COUNTIF(PlanAktarılacakSayfa!C:C,B611)</f>
        <v>0</v>
      </c>
      <c r="F611" s="33">
        <f>COUNTIF(PlanAktarılacakSayfa!C:C,E611)</f>
        <v>0</v>
      </c>
    </row>
    <row r="612" spans="3:6" x14ac:dyDescent="0.25">
      <c r="C612" s="30">
        <f>COUNTIF(PlanAktarılacakSayfa!C:C,B612)</f>
        <v>0</v>
      </c>
      <c r="F612" s="33">
        <f>COUNTIF(PlanAktarılacakSayfa!C:C,E612)</f>
        <v>0</v>
      </c>
    </row>
    <row r="613" spans="3:6" x14ac:dyDescent="0.25">
      <c r="C613" s="30">
        <f>COUNTIF(PlanAktarılacakSayfa!C:C,B613)</f>
        <v>0</v>
      </c>
      <c r="F613" s="33">
        <f>COUNTIF(PlanAktarılacakSayfa!C:C,E613)</f>
        <v>0</v>
      </c>
    </row>
    <row r="614" spans="3:6" x14ac:dyDescent="0.25">
      <c r="C614" s="30">
        <f>COUNTIF(PlanAktarılacakSayfa!C:C,B614)</f>
        <v>0</v>
      </c>
      <c r="F614" s="33">
        <f>COUNTIF(PlanAktarılacakSayfa!C:C,E614)</f>
        <v>0</v>
      </c>
    </row>
    <row r="615" spans="3:6" x14ac:dyDescent="0.25">
      <c r="C615" s="30">
        <f>COUNTIF(PlanAktarılacakSayfa!C:C,B615)</f>
        <v>0</v>
      </c>
      <c r="F615" s="33">
        <f>COUNTIF(PlanAktarılacakSayfa!C:C,E615)</f>
        <v>0</v>
      </c>
    </row>
    <row r="616" spans="3:6" x14ac:dyDescent="0.25">
      <c r="C616" s="30">
        <f>COUNTIF(PlanAktarılacakSayfa!C:C,B616)</f>
        <v>0</v>
      </c>
      <c r="F616" s="33">
        <f>COUNTIF(PlanAktarılacakSayfa!C:C,E616)</f>
        <v>0</v>
      </c>
    </row>
    <row r="617" spans="3:6" x14ac:dyDescent="0.25">
      <c r="C617" s="30">
        <f>COUNTIF(PlanAktarılacakSayfa!C:C,B617)</f>
        <v>0</v>
      </c>
      <c r="F617" s="33">
        <f>COUNTIF(PlanAktarılacakSayfa!C:C,E617)</f>
        <v>0</v>
      </c>
    </row>
    <row r="618" spans="3:6" x14ac:dyDescent="0.25">
      <c r="C618" s="30">
        <f>COUNTIF(PlanAktarılacakSayfa!C:C,B618)</f>
        <v>0</v>
      </c>
      <c r="F618" s="33">
        <f>COUNTIF(PlanAktarılacakSayfa!C:C,E618)</f>
        <v>0</v>
      </c>
    </row>
    <row r="619" spans="3:6" x14ac:dyDescent="0.25">
      <c r="C619" s="30">
        <f>COUNTIF(PlanAktarılacakSayfa!C:C,B619)</f>
        <v>0</v>
      </c>
      <c r="F619" s="33">
        <f>COUNTIF(PlanAktarılacakSayfa!C:C,E619)</f>
        <v>0</v>
      </c>
    </row>
    <row r="620" spans="3:6" x14ac:dyDescent="0.25">
      <c r="C620" s="30">
        <f>COUNTIF(PlanAktarılacakSayfa!C:C,B620)</f>
        <v>0</v>
      </c>
      <c r="F620" s="33">
        <f>COUNTIF(PlanAktarılacakSayfa!C:C,E620)</f>
        <v>0</v>
      </c>
    </row>
    <row r="621" spans="3:6" x14ac:dyDescent="0.25">
      <c r="C621" s="30">
        <f>COUNTIF(PlanAktarılacakSayfa!C:C,B621)</f>
        <v>0</v>
      </c>
      <c r="F621" s="33">
        <f>COUNTIF(PlanAktarılacakSayfa!C:C,E621)</f>
        <v>0</v>
      </c>
    </row>
    <row r="622" spans="3:6" x14ac:dyDescent="0.25">
      <c r="C622" s="30">
        <f>COUNTIF(PlanAktarılacakSayfa!C:C,B622)</f>
        <v>0</v>
      </c>
      <c r="F622" s="33">
        <f>COUNTIF(PlanAktarılacakSayfa!C:C,E622)</f>
        <v>0</v>
      </c>
    </row>
    <row r="623" spans="3:6" x14ac:dyDescent="0.25">
      <c r="C623" s="30">
        <f>COUNTIF(PlanAktarılacakSayfa!C:C,B623)</f>
        <v>0</v>
      </c>
      <c r="F623" s="33">
        <f>COUNTIF(PlanAktarılacakSayfa!C:C,E623)</f>
        <v>0</v>
      </c>
    </row>
    <row r="624" spans="3:6" x14ac:dyDescent="0.25">
      <c r="C624" s="30">
        <f>COUNTIF(PlanAktarılacakSayfa!C:C,B624)</f>
        <v>0</v>
      </c>
      <c r="F624" s="33">
        <f>COUNTIF(PlanAktarılacakSayfa!C:C,E624)</f>
        <v>0</v>
      </c>
    </row>
    <row r="625" spans="3:6" x14ac:dyDescent="0.25">
      <c r="C625" s="30">
        <f>COUNTIF(PlanAktarılacakSayfa!C:C,B625)</f>
        <v>0</v>
      </c>
      <c r="F625" s="33">
        <f>COUNTIF(PlanAktarılacakSayfa!C:C,E625)</f>
        <v>0</v>
      </c>
    </row>
    <row r="626" spans="3:6" x14ac:dyDescent="0.25">
      <c r="C626" s="30">
        <f>COUNTIF(PlanAktarılacakSayfa!C:C,B626)</f>
        <v>0</v>
      </c>
      <c r="F626" s="33">
        <f>COUNTIF(PlanAktarılacakSayfa!C:C,E626)</f>
        <v>0</v>
      </c>
    </row>
    <row r="627" spans="3:6" x14ac:dyDescent="0.25">
      <c r="C627" s="30">
        <f>COUNTIF(PlanAktarılacakSayfa!C:C,B627)</f>
        <v>0</v>
      </c>
      <c r="F627" s="33">
        <f>COUNTIF(PlanAktarılacakSayfa!C:C,E627)</f>
        <v>0</v>
      </c>
    </row>
    <row r="628" spans="3:6" x14ac:dyDescent="0.25">
      <c r="C628" s="30">
        <f>COUNTIF(PlanAktarılacakSayfa!C:C,B628)</f>
        <v>0</v>
      </c>
      <c r="F628" s="33">
        <f>COUNTIF(PlanAktarılacakSayfa!C:C,E628)</f>
        <v>0</v>
      </c>
    </row>
    <row r="629" spans="3:6" x14ac:dyDescent="0.25">
      <c r="C629" s="30">
        <f>COUNTIF(PlanAktarılacakSayfa!C:C,B629)</f>
        <v>0</v>
      </c>
      <c r="F629" s="33">
        <f>COUNTIF(PlanAktarılacakSayfa!C:C,E629)</f>
        <v>0</v>
      </c>
    </row>
    <row r="630" spans="3:6" x14ac:dyDescent="0.25">
      <c r="C630" s="30">
        <f>COUNTIF(PlanAktarılacakSayfa!C:C,B630)</f>
        <v>0</v>
      </c>
      <c r="F630" s="33">
        <f>COUNTIF(PlanAktarılacakSayfa!C:C,E630)</f>
        <v>0</v>
      </c>
    </row>
    <row r="631" spans="3:6" x14ac:dyDescent="0.25">
      <c r="C631" s="30">
        <f>COUNTIF(PlanAktarılacakSayfa!C:C,B631)</f>
        <v>0</v>
      </c>
      <c r="F631" s="33">
        <f>COUNTIF(PlanAktarılacakSayfa!C:C,E631)</f>
        <v>0</v>
      </c>
    </row>
    <row r="632" spans="3:6" x14ac:dyDescent="0.25">
      <c r="C632" s="30">
        <f>COUNTIF(PlanAktarılacakSayfa!C:C,B632)</f>
        <v>0</v>
      </c>
      <c r="F632" s="33">
        <f>COUNTIF(PlanAktarılacakSayfa!C:C,E632)</f>
        <v>0</v>
      </c>
    </row>
    <row r="633" spans="3:6" x14ac:dyDescent="0.25">
      <c r="C633" s="30">
        <f>COUNTIF(PlanAktarılacakSayfa!C:C,B633)</f>
        <v>0</v>
      </c>
      <c r="F633" s="33">
        <f>COUNTIF(PlanAktarılacakSayfa!C:C,E633)</f>
        <v>0</v>
      </c>
    </row>
    <row r="634" spans="3:6" x14ac:dyDescent="0.25">
      <c r="C634" s="30">
        <f>COUNTIF(PlanAktarılacakSayfa!C:C,B634)</f>
        <v>0</v>
      </c>
      <c r="F634" s="33">
        <f>COUNTIF(PlanAktarılacakSayfa!C:C,E634)</f>
        <v>0</v>
      </c>
    </row>
    <row r="635" spans="3:6" x14ac:dyDescent="0.25">
      <c r="C635" s="30">
        <f>COUNTIF(PlanAktarılacakSayfa!C:C,B635)</f>
        <v>0</v>
      </c>
      <c r="F635" s="33">
        <f>COUNTIF(PlanAktarılacakSayfa!C:C,E635)</f>
        <v>0</v>
      </c>
    </row>
    <row r="636" spans="3:6" x14ac:dyDescent="0.25">
      <c r="C636" s="30">
        <f>COUNTIF(PlanAktarılacakSayfa!C:C,B636)</f>
        <v>0</v>
      </c>
      <c r="F636" s="33">
        <f>COUNTIF(PlanAktarılacakSayfa!C:C,E636)</f>
        <v>0</v>
      </c>
    </row>
    <row r="637" spans="3:6" x14ac:dyDescent="0.25">
      <c r="C637" s="30">
        <f>COUNTIF(PlanAktarılacakSayfa!C:C,B637)</f>
        <v>0</v>
      </c>
      <c r="F637" s="33">
        <f>COUNTIF(PlanAktarılacakSayfa!C:C,E637)</f>
        <v>0</v>
      </c>
    </row>
    <row r="638" spans="3:6" x14ac:dyDescent="0.25">
      <c r="C638" s="30">
        <f>COUNTIF(PlanAktarılacakSayfa!C:C,B638)</f>
        <v>0</v>
      </c>
      <c r="F638" s="33">
        <f>COUNTIF(PlanAktarılacakSayfa!C:C,E638)</f>
        <v>0</v>
      </c>
    </row>
    <row r="639" spans="3:6" x14ac:dyDescent="0.25">
      <c r="C639" s="30">
        <f>COUNTIF(PlanAktarılacakSayfa!C:C,B639)</f>
        <v>0</v>
      </c>
      <c r="F639" s="33">
        <f>COUNTIF(PlanAktarılacakSayfa!C:C,E639)</f>
        <v>0</v>
      </c>
    </row>
    <row r="640" spans="3:6" x14ac:dyDescent="0.25">
      <c r="C640" s="30">
        <f>COUNTIF(PlanAktarılacakSayfa!C:C,B640)</f>
        <v>0</v>
      </c>
      <c r="F640" s="33">
        <f>COUNTIF(PlanAktarılacakSayfa!C:C,E640)</f>
        <v>0</v>
      </c>
    </row>
    <row r="641" spans="3:6" x14ac:dyDescent="0.25">
      <c r="C641" s="30">
        <f>COUNTIF(PlanAktarılacakSayfa!C:C,B641)</f>
        <v>0</v>
      </c>
      <c r="F641" s="33">
        <f>COUNTIF(PlanAktarılacakSayfa!C:C,E641)</f>
        <v>0</v>
      </c>
    </row>
    <row r="642" spans="3:6" x14ac:dyDescent="0.25">
      <c r="C642" s="30">
        <f>COUNTIF(PlanAktarılacakSayfa!C:C,B642)</f>
        <v>0</v>
      </c>
      <c r="F642" s="33">
        <f>COUNTIF(PlanAktarılacakSayfa!C:C,E642)</f>
        <v>0</v>
      </c>
    </row>
    <row r="643" spans="3:6" x14ac:dyDescent="0.25">
      <c r="C643" s="30">
        <f>COUNTIF(PlanAktarılacakSayfa!C:C,B643)</f>
        <v>0</v>
      </c>
      <c r="F643" s="33">
        <f>COUNTIF(PlanAktarılacakSayfa!C:C,E643)</f>
        <v>0</v>
      </c>
    </row>
    <row r="644" spans="3:6" x14ac:dyDescent="0.25">
      <c r="C644" s="30">
        <f>COUNTIF(PlanAktarılacakSayfa!C:C,B644)</f>
        <v>0</v>
      </c>
      <c r="F644" s="33">
        <f>COUNTIF(PlanAktarılacakSayfa!C:C,E644)</f>
        <v>0</v>
      </c>
    </row>
    <row r="645" spans="3:6" x14ac:dyDescent="0.25">
      <c r="C645" s="30">
        <f>COUNTIF(PlanAktarılacakSayfa!C:C,B645)</f>
        <v>0</v>
      </c>
      <c r="F645" s="33">
        <f>COUNTIF(PlanAktarılacakSayfa!C:C,E645)</f>
        <v>0</v>
      </c>
    </row>
    <row r="646" spans="3:6" x14ac:dyDescent="0.25">
      <c r="C646" s="30">
        <f>COUNTIF(PlanAktarılacakSayfa!C:C,B646)</f>
        <v>0</v>
      </c>
      <c r="F646" s="33">
        <f>COUNTIF(PlanAktarılacakSayfa!C:C,E646)</f>
        <v>0</v>
      </c>
    </row>
    <row r="647" spans="3:6" x14ac:dyDescent="0.25">
      <c r="C647" s="30">
        <f>COUNTIF(PlanAktarılacakSayfa!C:C,B647)</f>
        <v>0</v>
      </c>
      <c r="F647" s="33">
        <f>COUNTIF(PlanAktarılacakSayfa!C:C,E647)</f>
        <v>0</v>
      </c>
    </row>
    <row r="648" spans="3:6" x14ac:dyDescent="0.25">
      <c r="C648" s="30">
        <f>COUNTIF(PlanAktarılacakSayfa!C:C,B648)</f>
        <v>0</v>
      </c>
      <c r="F648" s="33">
        <f>COUNTIF(PlanAktarılacakSayfa!C:C,E648)</f>
        <v>0</v>
      </c>
    </row>
    <row r="649" spans="3:6" x14ac:dyDescent="0.25">
      <c r="C649" s="30">
        <f>COUNTIF(PlanAktarılacakSayfa!C:C,B649)</f>
        <v>0</v>
      </c>
      <c r="F649" s="33">
        <f>COUNTIF(PlanAktarılacakSayfa!C:C,E649)</f>
        <v>0</v>
      </c>
    </row>
    <row r="650" spans="3:6" x14ac:dyDescent="0.25">
      <c r="C650" s="30">
        <f>COUNTIF(PlanAktarılacakSayfa!C:C,B650)</f>
        <v>0</v>
      </c>
      <c r="F650" s="33">
        <f>COUNTIF(PlanAktarılacakSayfa!C:C,E650)</f>
        <v>0</v>
      </c>
    </row>
    <row r="651" spans="3:6" x14ac:dyDescent="0.25">
      <c r="C651" s="30">
        <f>COUNTIF(PlanAktarılacakSayfa!C:C,B651)</f>
        <v>0</v>
      </c>
      <c r="F651" s="33">
        <f>COUNTIF(PlanAktarılacakSayfa!C:C,E651)</f>
        <v>0</v>
      </c>
    </row>
    <row r="652" spans="3:6" x14ac:dyDescent="0.25">
      <c r="C652" s="30">
        <f>COUNTIF(PlanAktarılacakSayfa!C:C,B652)</f>
        <v>0</v>
      </c>
      <c r="F652" s="33">
        <f>COUNTIF(PlanAktarılacakSayfa!C:C,E652)</f>
        <v>0</v>
      </c>
    </row>
    <row r="653" spans="3:6" x14ac:dyDescent="0.25">
      <c r="C653" s="30">
        <f>COUNTIF(PlanAktarılacakSayfa!C:C,B653)</f>
        <v>0</v>
      </c>
      <c r="F653" s="33">
        <f>COUNTIF(PlanAktarılacakSayfa!C:C,E653)</f>
        <v>0</v>
      </c>
    </row>
    <row r="654" spans="3:6" x14ac:dyDescent="0.25">
      <c r="C654" s="30">
        <f>COUNTIF(PlanAktarılacakSayfa!C:C,B654)</f>
        <v>0</v>
      </c>
      <c r="F654" s="33">
        <f>COUNTIF(PlanAktarılacakSayfa!C:C,E654)</f>
        <v>0</v>
      </c>
    </row>
    <row r="655" spans="3:6" x14ac:dyDescent="0.25">
      <c r="C655" s="30">
        <f>COUNTIF(PlanAktarılacakSayfa!C:C,B655)</f>
        <v>0</v>
      </c>
      <c r="F655" s="33">
        <f>COUNTIF(PlanAktarılacakSayfa!C:C,E655)</f>
        <v>0</v>
      </c>
    </row>
    <row r="656" spans="3:6" x14ac:dyDescent="0.25">
      <c r="C656" s="30">
        <f>COUNTIF(PlanAktarılacakSayfa!C:C,B656)</f>
        <v>0</v>
      </c>
      <c r="F656" s="33">
        <f>COUNTIF(PlanAktarılacakSayfa!C:C,E656)</f>
        <v>0</v>
      </c>
    </row>
    <row r="657" spans="3:6" x14ac:dyDescent="0.25">
      <c r="C657" s="30">
        <f>COUNTIF(PlanAktarılacakSayfa!C:C,B657)</f>
        <v>0</v>
      </c>
      <c r="F657" s="33">
        <f>COUNTIF(PlanAktarılacakSayfa!C:C,E657)</f>
        <v>0</v>
      </c>
    </row>
    <row r="658" spans="3:6" x14ac:dyDescent="0.25">
      <c r="C658" s="30">
        <f>COUNTIF(PlanAktarılacakSayfa!C:C,B658)</f>
        <v>0</v>
      </c>
      <c r="F658" s="33">
        <f>COUNTIF(PlanAktarılacakSayfa!C:C,E658)</f>
        <v>0</v>
      </c>
    </row>
    <row r="659" spans="3:6" x14ac:dyDescent="0.25">
      <c r="C659" s="30">
        <f>COUNTIF(PlanAktarılacakSayfa!C:C,B659)</f>
        <v>0</v>
      </c>
      <c r="F659" s="33">
        <f>COUNTIF(PlanAktarılacakSayfa!C:C,E659)</f>
        <v>0</v>
      </c>
    </row>
    <row r="660" spans="3:6" x14ac:dyDescent="0.25">
      <c r="C660" s="30">
        <f>COUNTIF(PlanAktarılacakSayfa!C:C,B660)</f>
        <v>0</v>
      </c>
      <c r="F660" s="33">
        <f>COUNTIF(PlanAktarılacakSayfa!C:C,E660)</f>
        <v>0</v>
      </c>
    </row>
    <row r="661" spans="3:6" x14ac:dyDescent="0.25">
      <c r="C661" s="30">
        <f>COUNTIF(PlanAktarılacakSayfa!C:C,B661)</f>
        <v>0</v>
      </c>
      <c r="F661" s="33">
        <f>COUNTIF(PlanAktarılacakSayfa!C:C,E661)</f>
        <v>0</v>
      </c>
    </row>
    <row r="662" spans="3:6" x14ac:dyDescent="0.25">
      <c r="C662" s="30">
        <f>COUNTIF(PlanAktarılacakSayfa!C:C,B662)</f>
        <v>0</v>
      </c>
      <c r="F662" s="33">
        <f>COUNTIF(PlanAktarılacakSayfa!C:C,E662)</f>
        <v>0</v>
      </c>
    </row>
    <row r="663" spans="3:6" x14ac:dyDescent="0.25">
      <c r="C663" s="30">
        <f>COUNTIF(PlanAktarılacakSayfa!C:C,B663)</f>
        <v>0</v>
      </c>
      <c r="F663" s="33">
        <f>COUNTIF(PlanAktarılacakSayfa!C:C,E663)</f>
        <v>0</v>
      </c>
    </row>
    <row r="664" spans="3:6" x14ac:dyDescent="0.25">
      <c r="C664" s="30">
        <f>COUNTIF(PlanAktarılacakSayfa!C:C,B664)</f>
        <v>0</v>
      </c>
      <c r="F664" s="33">
        <f>COUNTIF(PlanAktarılacakSayfa!C:C,E664)</f>
        <v>0</v>
      </c>
    </row>
    <row r="665" spans="3:6" x14ac:dyDescent="0.25">
      <c r="C665" s="30">
        <f>COUNTIF(PlanAktarılacakSayfa!C:C,B665)</f>
        <v>0</v>
      </c>
      <c r="F665" s="33">
        <f>COUNTIF(PlanAktarılacakSayfa!C:C,E665)</f>
        <v>0</v>
      </c>
    </row>
    <row r="666" spans="3:6" x14ac:dyDescent="0.25">
      <c r="C666" s="30">
        <f>COUNTIF(PlanAktarılacakSayfa!C:C,B666)</f>
        <v>0</v>
      </c>
      <c r="F666" s="33">
        <f>COUNTIF(PlanAktarılacakSayfa!C:C,E666)</f>
        <v>0</v>
      </c>
    </row>
    <row r="667" spans="3:6" x14ac:dyDescent="0.25">
      <c r="C667" s="30">
        <f>COUNTIF(PlanAktarılacakSayfa!C:C,B667)</f>
        <v>0</v>
      </c>
      <c r="F667" s="33">
        <f>COUNTIF(PlanAktarılacakSayfa!C:C,E667)</f>
        <v>0</v>
      </c>
    </row>
    <row r="668" spans="3:6" x14ac:dyDescent="0.25">
      <c r="C668" s="30">
        <f>COUNTIF(PlanAktarılacakSayfa!C:C,B668)</f>
        <v>0</v>
      </c>
      <c r="F668" s="33">
        <f>COUNTIF(PlanAktarılacakSayfa!C:C,E668)</f>
        <v>0</v>
      </c>
    </row>
    <row r="669" spans="3:6" x14ac:dyDescent="0.25">
      <c r="C669" s="30">
        <f>COUNTIF(PlanAktarılacakSayfa!C:C,B669)</f>
        <v>0</v>
      </c>
      <c r="F669" s="33">
        <f>COUNTIF(PlanAktarılacakSayfa!C:C,E669)</f>
        <v>0</v>
      </c>
    </row>
    <row r="670" spans="3:6" x14ac:dyDescent="0.25">
      <c r="C670" s="30">
        <f>COUNTIF(PlanAktarılacakSayfa!C:C,B670)</f>
        <v>0</v>
      </c>
      <c r="F670" s="33">
        <f>COUNTIF(PlanAktarılacakSayfa!C:C,E670)</f>
        <v>0</v>
      </c>
    </row>
    <row r="671" spans="3:6" x14ac:dyDescent="0.25">
      <c r="C671" s="30">
        <f>COUNTIF(PlanAktarılacakSayfa!C:C,B671)</f>
        <v>0</v>
      </c>
      <c r="F671" s="33">
        <f>COUNTIF(PlanAktarılacakSayfa!C:C,E671)</f>
        <v>0</v>
      </c>
    </row>
    <row r="672" spans="3:6" x14ac:dyDescent="0.25">
      <c r="C672" s="30">
        <f>COUNTIF(PlanAktarılacakSayfa!C:C,B672)</f>
        <v>0</v>
      </c>
      <c r="F672" s="33">
        <f>COUNTIF(PlanAktarılacakSayfa!C:C,E672)</f>
        <v>0</v>
      </c>
    </row>
    <row r="673" spans="3:6" x14ac:dyDescent="0.25">
      <c r="C673" s="30">
        <f>COUNTIF(PlanAktarılacakSayfa!C:C,B673)</f>
        <v>0</v>
      </c>
      <c r="F673" s="33">
        <f>COUNTIF(PlanAktarılacakSayfa!C:C,E673)</f>
        <v>0</v>
      </c>
    </row>
    <row r="674" spans="3:6" x14ac:dyDescent="0.25">
      <c r="C674" s="30">
        <f>COUNTIF(PlanAktarılacakSayfa!C:C,B674)</f>
        <v>0</v>
      </c>
      <c r="F674" s="33">
        <f>COUNTIF(PlanAktarılacakSayfa!C:C,E674)</f>
        <v>0</v>
      </c>
    </row>
    <row r="675" spans="3:6" x14ac:dyDescent="0.25">
      <c r="C675" s="30">
        <f>COUNTIF(PlanAktarılacakSayfa!C:C,B675)</f>
        <v>0</v>
      </c>
      <c r="F675" s="33">
        <f>COUNTIF(PlanAktarılacakSayfa!C:C,E675)</f>
        <v>0</v>
      </c>
    </row>
    <row r="676" spans="3:6" x14ac:dyDescent="0.25">
      <c r="C676" s="30">
        <f>COUNTIF(PlanAktarılacakSayfa!C:C,B676)</f>
        <v>0</v>
      </c>
      <c r="F676" s="33">
        <f>COUNTIF(PlanAktarılacakSayfa!C:C,E676)</f>
        <v>0</v>
      </c>
    </row>
    <row r="677" spans="3:6" x14ac:dyDescent="0.25">
      <c r="C677" s="30">
        <f>COUNTIF(PlanAktarılacakSayfa!C:C,B677)</f>
        <v>0</v>
      </c>
      <c r="F677" s="33">
        <f>COUNTIF(PlanAktarılacakSayfa!C:C,E677)</f>
        <v>0</v>
      </c>
    </row>
    <row r="678" spans="3:6" x14ac:dyDescent="0.25">
      <c r="C678" s="30">
        <f>COUNTIF(PlanAktarılacakSayfa!C:C,B678)</f>
        <v>0</v>
      </c>
      <c r="F678" s="33">
        <f>COUNTIF(PlanAktarılacakSayfa!C:C,E678)</f>
        <v>0</v>
      </c>
    </row>
    <row r="679" spans="3:6" x14ac:dyDescent="0.25">
      <c r="C679" s="30">
        <f>COUNTIF(PlanAktarılacakSayfa!C:C,B679)</f>
        <v>0</v>
      </c>
      <c r="F679" s="33">
        <f>COUNTIF(PlanAktarılacakSayfa!C:C,E679)</f>
        <v>0</v>
      </c>
    </row>
    <row r="680" spans="3:6" x14ac:dyDescent="0.25">
      <c r="C680" s="30">
        <f>COUNTIF(PlanAktarılacakSayfa!C:C,B680)</f>
        <v>0</v>
      </c>
      <c r="F680" s="33">
        <f>COUNTIF(PlanAktarılacakSayfa!C:C,E680)</f>
        <v>0</v>
      </c>
    </row>
    <row r="681" spans="3:6" x14ac:dyDescent="0.25">
      <c r="C681" s="30">
        <f>COUNTIF(PlanAktarılacakSayfa!C:C,B681)</f>
        <v>0</v>
      </c>
      <c r="F681" s="33">
        <f>COUNTIF(PlanAktarılacakSayfa!C:C,E681)</f>
        <v>0</v>
      </c>
    </row>
    <row r="682" spans="3:6" x14ac:dyDescent="0.25">
      <c r="C682" s="30">
        <f>COUNTIF(PlanAktarılacakSayfa!C:C,B682)</f>
        <v>0</v>
      </c>
      <c r="F682" s="33">
        <f>COUNTIF(PlanAktarılacakSayfa!C:C,E682)</f>
        <v>0</v>
      </c>
    </row>
    <row r="683" spans="3:6" x14ac:dyDescent="0.25">
      <c r="C683" s="30">
        <f>COUNTIF(PlanAktarılacakSayfa!C:C,B683)</f>
        <v>0</v>
      </c>
      <c r="F683" s="33">
        <f>COUNTIF(PlanAktarılacakSayfa!C:C,E683)</f>
        <v>0</v>
      </c>
    </row>
    <row r="684" spans="3:6" x14ac:dyDescent="0.25">
      <c r="C684" s="30">
        <f>COUNTIF(PlanAktarılacakSayfa!C:C,B684)</f>
        <v>0</v>
      </c>
      <c r="F684" s="33">
        <f>COUNTIF(PlanAktarılacakSayfa!C:C,E684)</f>
        <v>0</v>
      </c>
    </row>
    <row r="685" spans="3:6" x14ac:dyDescent="0.25">
      <c r="C685" s="30">
        <f>COUNTIF(PlanAktarılacakSayfa!C:C,B685)</f>
        <v>0</v>
      </c>
      <c r="F685" s="33">
        <f>COUNTIF(PlanAktarılacakSayfa!C:C,E685)</f>
        <v>0</v>
      </c>
    </row>
    <row r="686" spans="3:6" x14ac:dyDescent="0.25">
      <c r="C686" s="30">
        <f>COUNTIF(PlanAktarılacakSayfa!C:C,B686)</f>
        <v>0</v>
      </c>
      <c r="F686" s="33">
        <f>COUNTIF(PlanAktarılacakSayfa!C:C,E686)</f>
        <v>0</v>
      </c>
    </row>
    <row r="687" spans="3:6" x14ac:dyDescent="0.25">
      <c r="C687" s="30">
        <f>COUNTIF(PlanAktarılacakSayfa!C:C,B687)</f>
        <v>0</v>
      </c>
      <c r="F687" s="33">
        <f>COUNTIF(PlanAktarılacakSayfa!C:C,E687)</f>
        <v>0</v>
      </c>
    </row>
    <row r="688" spans="3:6" x14ac:dyDescent="0.25">
      <c r="C688" s="30">
        <f>COUNTIF(PlanAktarılacakSayfa!C:C,B688)</f>
        <v>0</v>
      </c>
      <c r="F688" s="33">
        <f>COUNTIF(PlanAktarılacakSayfa!C:C,E688)</f>
        <v>0</v>
      </c>
    </row>
    <row r="689" spans="3:6" x14ac:dyDescent="0.25">
      <c r="C689" s="30">
        <f>COUNTIF(PlanAktarılacakSayfa!C:C,B689)</f>
        <v>0</v>
      </c>
      <c r="F689" s="33">
        <f>COUNTIF(PlanAktarılacakSayfa!C:C,E689)</f>
        <v>0</v>
      </c>
    </row>
    <row r="690" spans="3:6" x14ac:dyDescent="0.25">
      <c r="C690" s="30">
        <f>COUNTIF(PlanAktarılacakSayfa!C:C,B690)</f>
        <v>0</v>
      </c>
      <c r="F690" s="33">
        <f>COUNTIF(PlanAktarılacakSayfa!C:C,E690)</f>
        <v>0</v>
      </c>
    </row>
    <row r="691" spans="3:6" x14ac:dyDescent="0.25">
      <c r="C691" s="30">
        <f>COUNTIF(PlanAktarılacakSayfa!C:C,B691)</f>
        <v>0</v>
      </c>
      <c r="F691" s="33">
        <f>COUNTIF(PlanAktarılacakSayfa!C:C,E691)</f>
        <v>0</v>
      </c>
    </row>
    <row r="692" spans="3:6" x14ac:dyDescent="0.25">
      <c r="C692" s="30">
        <f>COUNTIF(PlanAktarılacakSayfa!C:C,B692)</f>
        <v>0</v>
      </c>
      <c r="F692" s="33">
        <f>COUNTIF(PlanAktarılacakSayfa!C:C,E692)</f>
        <v>0</v>
      </c>
    </row>
    <row r="693" spans="3:6" x14ac:dyDescent="0.25">
      <c r="C693" s="30">
        <f>COUNTIF(PlanAktarılacakSayfa!C:C,B693)</f>
        <v>0</v>
      </c>
      <c r="F693" s="33">
        <f>COUNTIF(PlanAktarılacakSayfa!C:C,E693)</f>
        <v>0</v>
      </c>
    </row>
    <row r="694" spans="3:6" x14ac:dyDescent="0.25">
      <c r="C694" s="30">
        <f>COUNTIF(PlanAktarılacakSayfa!C:C,B694)</f>
        <v>0</v>
      </c>
      <c r="F694" s="33">
        <f>COUNTIF(PlanAktarılacakSayfa!C:C,E694)</f>
        <v>0</v>
      </c>
    </row>
    <row r="695" spans="3:6" x14ac:dyDescent="0.25">
      <c r="C695" s="30">
        <f>COUNTIF(PlanAktarılacakSayfa!C:C,B695)</f>
        <v>0</v>
      </c>
      <c r="F695" s="33">
        <f>COUNTIF(PlanAktarılacakSayfa!C:C,E695)</f>
        <v>0</v>
      </c>
    </row>
    <row r="696" spans="3:6" x14ac:dyDescent="0.25">
      <c r="C696" s="30">
        <f>COUNTIF(PlanAktarılacakSayfa!C:C,B696)</f>
        <v>0</v>
      </c>
      <c r="F696" s="33">
        <f>COUNTIF(PlanAktarılacakSayfa!C:C,E696)</f>
        <v>0</v>
      </c>
    </row>
    <row r="697" spans="3:6" x14ac:dyDescent="0.25">
      <c r="C697" s="30">
        <f>COUNTIF(PlanAktarılacakSayfa!C:C,B697)</f>
        <v>0</v>
      </c>
      <c r="F697" s="33">
        <f>COUNTIF(PlanAktarılacakSayfa!C:C,E697)</f>
        <v>0</v>
      </c>
    </row>
    <row r="698" spans="3:6" x14ac:dyDescent="0.25">
      <c r="C698" s="30">
        <f>COUNTIF(PlanAktarılacakSayfa!C:C,B698)</f>
        <v>0</v>
      </c>
      <c r="F698" s="33">
        <f>COUNTIF(PlanAktarılacakSayfa!C:C,E698)</f>
        <v>0</v>
      </c>
    </row>
    <row r="699" spans="3:6" x14ac:dyDescent="0.25">
      <c r="C699" s="30">
        <f>COUNTIF(PlanAktarılacakSayfa!C:C,B699)</f>
        <v>0</v>
      </c>
      <c r="F699" s="33">
        <f>COUNTIF(PlanAktarılacakSayfa!C:C,E699)</f>
        <v>0</v>
      </c>
    </row>
    <row r="700" spans="3:6" x14ac:dyDescent="0.25">
      <c r="C700" s="30">
        <f>COUNTIF(PlanAktarılacakSayfa!C:C,B700)</f>
        <v>0</v>
      </c>
      <c r="F700" s="33">
        <f>COUNTIF(PlanAktarılacakSayfa!C:C,E700)</f>
        <v>0</v>
      </c>
    </row>
    <row r="701" spans="3:6" x14ac:dyDescent="0.25">
      <c r="C701" s="30">
        <f>COUNTIF(PlanAktarılacakSayfa!C:C,B701)</f>
        <v>0</v>
      </c>
      <c r="F701" s="33">
        <f>COUNTIF(PlanAktarılacakSayfa!C:C,E701)</f>
        <v>0</v>
      </c>
    </row>
    <row r="702" spans="3:6" x14ac:dyDescent="0.25">
      <c r="C702" s="30">
        <f>COUNTIF(PlanAktarılacakSayfa!C:C,B702)</f>
        <v>0</v>
      </c>
      <c r="F702" s="33">
        <f>COUNTIF(PlanAktarılacakSayfa!C:C,E702)</f>
        <v>0</v>
      </c>
    </row>
    <row r="703" spans="3:6" x14ac:dyDescent="0.25">
      <c r="C703" s="30">
        <f>COUNTIF(PlanAktarılacakSayfa!C:C,B703)</f>
        <v>0</v>
      </c>
      <c r="F703" s="33">
        <f>COUNTIF(PlanAktarılacakSayfa!C:C,E703)</f>
        <v>0</v>
      </c>
    </row>
    <row r="704" spans="3:6" x14ac:dyDescent="0.25">
      <c r="C704" s="30">
        <f>COUNTIF(PlanAktarılacakSayfa!C:C,B704)</f>
        <v>0</v>
      </c>
      <c r="F704" s="33">
        <f>COUNTIF(PlanAktarılacakSayfa!C:C,E704)</f>
        <v>0</v>
      </c>
    </row>
    <row r="705" spans="3:6" x14ac:dyDescent="0.25">
      <c r="C705" s="30">
        <f>COUNTIF(PlanAktarılacakSayfa!C:C,B705)</f>
        <v>0</v>
      </c>
      <c r="F705" s="33">
        <f>COUNTIF(PlanAktarılacakSayfa!C:C,E705)</f>
        <v>0</v>
      </c>
    </row>
    <row r="706" spans="3:6" x14ac:dyDescent="0.25">
      <c r="C706" s="30">
        <f>COUNTIF(PlanAktarılacakSayfa!C:C,B706)</f>
        <v>0</v>
      </c>
      <c r="F706" s="33">
        <f>COUNTIF(PlanAktarılacakSayfa!C:C,E706)</f>
        <v>0</v>
      </c>
    </row>
    <row r="707" spans="3:6" x14ac:dyDescent="0.25">
      <c r="C707" s="30">
        <f>COUNTIF(PlanAktarılacakSayfa!C:C,B707)</f>
        <v>0</v>
      </c>
      <c r="F707" s="33">
        <f>COUNTIF(PlanAktarılacakSayfa!C:C,E707)</f>
        <v>0</v>
      </c>
    </row>
    <row r="708" spans="3:6" x14ac:dyDescent="0.25">
      <c r="C708" s="30">
        <f>COUNTIF(PlanAktarılacakSayfa!C:C,B708)</f>
        <v>0</v>
      </c>
      <c r="F708" s="33">
        <f>COUNTIF(PlanAktarılacakSayfa!C:C,E708)</f>
        <v>0</v>
      </c>
    </row>
    <row r="709" spans="3:6" x14ac:dyDescent="0.25">
      <c r="C709" s="30">
        <f>COUNTIF(PlanAktarılacakSayfa!C:C,B709)</f>
        <v>0</v>
      </c>
      <c r="F709" s="33">
        <f>COUNTIF(PlanAktarılacakSayfa!C:C,E709)</f>
        <v>0</v>
      </c>
    </row>
    <row r="710" spans="3:6" x14ac:dyDescent="0.25">
      <c r="C710" s="30">
        <f>COUNTIF(PlanAktarılacakSayfa!C:C,B710)</f>
        <v>0</v>
      </c>
      <c r="F710" s="33">
        <f>COUNTIF(PlanAktarılacakSayfa!C:C,E710)</f>
        <v>0</v>
      </c>
    </row>
    <row r="711" spans="3:6" x14ac:dyDescent="0.25">
      <c r="C711" s="30">
        <f>COUNTIF(PlanAktarılacakSayfa!C:C,B711)</f>
        <v>0</v>
      </c>
      <c r="F711" s="33">
        <f>COUNTIF(PlanAktarılacakSayfa!C:C,E711)</f>
        <v>0</v>
      </c>
    </row>
    <row r="712" spans="3:6" x14ac:dyDescent="0.25">
      <c r="C712" s="30">
        <f>COUNTIF(PlanAktarılacakSayfa!C:C,B712)</f>
        <v>0</v>
      </c>
      <c r="F712" s="33">
        <f>COUNTIF(PlanAktarılacakSayfa!C:C,E712)</f>
        <v>0</v>
      </c>
    </row>
    <row r="713" spans="3:6" x14ac:dyDescent="0.25">
      <c r="C713" s="30">
        <f>COUNTIF(PlanAktarılacakSayfa!C:C,B713)</f>
        <v>0</v>
      </c>
      <c r="F713" s="33">
        <f>COUNTIF(PlanAktarılacakSayfa!C:C,E713)</f>
        <v>0</v>
      </c>
    </row>
    <row r="714" spans="3:6" x14ac:dyDescent="0.25">
      <c r="C714" s="30">
        <f>COUNTIF(PlanAktarılacakSayfa!C:C,B714)</f>
        <v>0</v>
      </c>
      <c r="F714" s="33">
        <f>COUNTIF(PlanAktarılacakSayfa!C:C,E714)</f>
        <v>0</v>
      </c>
    </row>
    <row r="715" spans="3:6" x14ac:dyDescent="0.25">
      <c r="C715" s="30">
        <f>COUNTIF(PlanAktarılacakSayfa!C:C,B715)</f>
        <v>0</v>
      </c>
      <c r="F715" s="33">
        <f>COUNTIF(PlanAktarılacakSayfa!C:C,E715)</f>
        <v>0</v>
      </c>
    </row>
    <row r="716" spans="3:6" x14ac:dyDescent="0.25">
      <c r="C716" s="30">
        <f>COUNTIF(PlanAktarılacakSayfa!C:C,B716)</f>
        <v>0</v>
      </c>
      <c r="F716" s="33">
        <f>COUNTIF(PlanAktarılacakSayfa!C:C,E716)</f>
        <v>0</v>
      </c>
    </row>
    <row r="717" spans="3:6" x14ac:dyDescent="0.25">
      <c r="C717" s="30">
        <f>COUNTIF(PlanAktarılacakSayfa!C:C,B717)</f>
        <v>0</v>
      </c>
      <c r="F717" s="33">
        <f>COUNTIF(PlanAktarılacakSayfa!C:C,E717)</f>
        <v>0</v>
      </c>
    </row>
    <row r="718" spans="3:6" x14ac:dyDescent="0.25">
      <c r="C718" s="30">
        <f>COUNTIF(PlanAktarılacakSayfa!C:C,B718)</f>
        <v>0</v>
      </c>
      <c r="F718" s="33">
        <f>COUNTIF(PlanAktarılacakSayfa!C:C,E718)</f>
        <v>0</v>
      </c>
    </row>
    <row r="719" spans="3:6" x14ac:dyDescent="0.25">
      <c r="C719" s="30">
        <f>COUNTIF(PlanAktarılacakSayfa!C:C,B719)</f>
        <v>0</v>
      </c>
      <c r="F719" s="33">
        <f>COUNTIF(PlanAktarılacakSayfa!C:C,E719)</f>
        <v>0</v>
      </c>
    </row>
    <row r="720" spans="3:6" x14ac:dyDescent="0.25">
      <c r="C720" s="30">
        <f>COUNTIF(PlanAktarılacakSayfa!C:C,B720)</f>
        <v>0</v>
      </c>
      <c r="F720" s="33">
        <f>COUNTIF(PlanAktarılacakSayfa!C:C,E720)</f>
        <v>0</v>
      </c>
    </row>
    <row r="721" spans="3:6" x14ac:dyDescent="0.25">
      <c r="C721" s="30">
        <f>COUNTIF(PlanAktarılacakSayfa!C:C,B721)</f>
        <v>0</v>
      </c>
      <c r="F721" s="33">
        <f>COUNTIF(PlanAktarılacakSayfa!C:C,E721)</f>
        <v>0</v>
      </c>
    </row>
    <row r="722" spans="3:6" x14ac:dyDescent="0.25">
      <c r="C722" s="30">
        <f>COUNTIF(PlanAktarılacakSayfa!C:C,B722)</f>
        <v>0</v>
      </c>
      <c r="F722" s="33">
        <f>COUNTIF(PlanAktarılacakSayfa!C:C,E722)</f>
        <v>0</v>
      </c>
    </row>
    <row r="723" spans="3:6" x14ac:dyDescent="0.25">
      <c r="C723" s="30">
        <f>COUNTIF(PlanAktarılacakSayfa!C:C,B723)</f>
        <v>0</v>
      </c>
      <c r="F723" s="33">
        <f>COUNTIF(PlanAktarılacakSayfa!C:C,E723)</f>
        <v>0</v>
      </c>
    </row>
    <row r="724" spans="3:6" x14ac:dyDescent="0.25">
      <c r="C724" s="30">
        <f>COUNTIF(PlanAktarılacakSayfa!C:C,B724)</f>
        <v>0</v>
      </c>
      <c r="F724" s="33">
        <f>COUNTIF(PlanAktarılacakSayfa!C:C,E724)</f>
        <v>0</v>
      </c>
    </row>
    <row r="725" spans="3:6" x14ac:dyDescent="0.25">
      <c r="C725" s="30">
        <f>COUNTIF(PlanAktarılacakSayfa!C:C,B725)</f>
        <v>0</v>
      </c>
      <c r="F725" s="33">
        <f>COUNTIF(PlanAktarılacakSayfa!C:C,E725)</f>
        <v>0</v>
      </c>
    </row>
    <row r="726" spans="3:6" x14ac:dyDescent="0.25">
      <c r="C726" s="30">
        <f>COUNTIF(PlanAktarılacakSayfa!C:C,B726)</f>
        <v>0</v>
      </c>
      <c r="F726" s="33">
        <f>COUNTIF(PlanAktarılacakSayfa!C:C,E726)</f>
        <v>0</v>
      </c>
    </row>
    <row r="727" spans="3:6" x14ac:dyDescent="0.25">
      <c r="C727" s="30">
        <f>COUNTIF(PlanAktarılacakSayfa!C:C,B727)</f>
        <v>0</v>
      </c>
      <c r="F727" s="33">
        <f>COUNTIF(PlanAktarılacakSayfa!C:C,E727)</f>
        <v>0</v>
      </c>
    </row>
    <row r="728" spans="3:6" x14ac:dyDescent="0.25">
      <c r="C728" s="30">
        <f>COUNTIF(PlanAktarılacakSayfa!C:C,B728)</f>
        <v>0</v>
      </c>
      <c r="F728" s="33">
        <f>COUNTIF(PlanAktarılacakSayfa!C:C,E728)</f>
        <v>0</v>
      </c>
    </row>
    <row r="729" spans="3:6" x14ac:dyDescent="0.25">
      <c r="C729" s="30">
        <f>COUNTIF(PlanAktarılacakSayfa!C:C,B729)</f>
        <v>0</v>
      </c>
      <c r="F729" s="33">
        <f>COUNTIF(PlanAktarılacakSayfa!C:C,E729)</f>
        <v>0</v>
      </c>
    </row>
    <row r="730" spans="3:6" x14ac:dyDescent="0.25">
      <c r="C730" s="30">
        <f>COUNTIF(PlanAktarılacakSayfa!C:C,B730)</f>
        <v>0</v>
      </c>
      <c r="F730" s="33">
        <f>COUNTIF(PlanAktarılacakSayfa!C:C,E730)</f>
        <v>0</v>
      </c>
    </row>
    <row r="731" spans="3:6" x14ac:dyDescent="0.25">
      <c r="C731" s="30">
        <f>COUNTIF(PlanAktarılacakSayfa!C:C,B731)</f>
        <v>0</v>
      </c>
      <c r="F731" s="33">
        <f>COUNTIF(PlanAktarılacakSayfa!C:C,E731)</f>
        <v>0</v>
      </c>
    </row>
    <row r="732" spans="3:6" x14ac:dyDescent="0.25">
      <c r="C732" s="30">
        <f>COUNTIF(PlanAktarılacakSayfa!C:C,B732)</f>
        <v>0</v>
      </c>
      <c r="F732" s="33">
        <f>COUNTIF(PlanAktarılacakSayfa!C:C,E732)</f>
        <v>0</v>
      </c>
    </row>
    <row r="733" spans="3:6" x14ac:dyDescent="0.25">
      <c r="C733" s="30">
        <f>COUNTIF(PlanAktarılacakSayfa!C:C,B733)</f>
        <v>0</v>
      </c>
      <c r="F733" s="33">
        <f>COUNTIF(PlanAktarılacakSayfa!C:C,E733)</f>
        <v>0</v>
      </c>
    </row>
    <row r="734" spans="3:6" x14ac:dyDescent="0.25">
      <c r="C734" s="30">
        <f>COUNTIF(PlanAktarılacakSayfa!C:C,B734)</f>
        <v>0</v>
      </c>
      <c r="F734" s="33">
        <f>COUNTIF(PlanAktarılacakSayfa!C:C,E734)</f>
        <v>0</v>
      </c>
    </row>
    <row r="735" spans="3:6" x14ac:dyDescent="0.25">
      <c r="C735" s="30">
        <f>COUNTIF(PlanAktarılacakSayfa!C:C,B735)</f>
        <v>0</v>
      </c>
      <c r="F735" s="33">
        <f>COUNTIF(PlanAktarılacakSayfa!C:C,E735)</f>
        <v>0</v>
      </c>
    </row>
    <row r="736" spans="3:6" x14ac:dyDescent="0.25">
      <c r="C736" s="30">
        <f>COUNTIF(PlanAktarılacakSayfa!C:C,B736)</f>
        <v>0</v>
      </c>
      <c r="F736" s="33">
        <f>COUNTIF(PlanAktarılacakSayfa!C:C,E736)</f>
        <v>0</v>
      </c>
    </row>
    <row r="737" spans="3:6" x14ac:dyDescent="0.25">
      <c r="C737" s="30">
        <f>COUNTIF(PlanAktarılacakSayfa!C:C,B737)</f>
        <v>0</v>
      </c>
      <c r="F737" s="33">
        <f>COUNTIF(PlanAktarılacakSayfa!C:C,E737)</f>
        <v>0</v>
      </c>
    </row>
    <row r="738" spans="3:6" x14ac:dyDescent="0.25">
      <c r="C738" s="30">
        <f>COUNTIF(PlanAktarılacakSayfa!C:C,B738)</f>
        <v>0</v>
      </c>
      <c r="F738" s="33">
        <f>COUNTIF(PlanAktarılacakSayfa!C:C,E738)</f>
        <v>0</v>
      </c>
    </row>
    <row r="739" spans="3:6" x14ac:dyDescent="0.25">
      <c r="C739" s="30">
        <f>COUNTIF(PlanAktarılacakSayfa!C:C,B739)</f>
        <v>0</v>
      </c>
      <c r="F739" s="33">
        <f>COUNTIF(PlanAktarılacakSayfa!C:C,E739)</f>
        <v>0</v>
      </c>
    </row>
    <row r="740" spans="3:6" x14ac:dyDescent="0.25">
      <c r="C740" s="30">
        <f>COUNTIF(PlanAktarılacakSayfa!C:C,B740)</f>
        <v>0</v>
      </c>
      <c r="F740" s="33">
        <f>COUNTIF(PlanAktarılacakSayfa!C:C,E740)</f>
        <v>0</v>
      </c>
    </row>
    <row r="741" spans="3:6" x14ac:dyDescent="0.25">
      <c r="C741" s="30">
        <f>COUNTIF(PlanAktarılacakSayfa!C:C,B741)</f>
        <v>0</v>
      </c>
      <c r="F741" s="33">
        <f>COUNTIF(PlanAktarılacakSayfa!C:C,E741)</f>
        <v>0</v>
      </c>
    </row>
    <row r="742" spans="3:6" x14ac:dyDescent="0.25">
      <c r="C742" s="30">
        <f>COUNTIF(PlanAktarılacakSayfa!C:C,B742)</f>
        <v>0</v>
      </c>
      <c r="F742" s="33">
        <f>COUNTIF(PlanAktarılacakSayfa!C:C,E742)</f>
        <v>0</v>
      </c>
    </row>
    <row r="743" spans="3:6" x14ac:dyDescent="0.25">
      <c r="C743" s="30">
        <f>COUNTIF(PlanAktarılacakSayfa!C:C,B743)</f>
        <v>0</v>
      </c>
      <c r="F743" s="33">
        <f>COUNTIF(PlanAktarılacakSayfa!C:C,E743)</f>
        <v>0</v>
      </c>
    </row>
    <row r="744" spans="3:6" x14ac:dyDescent="0.25">
      <c r="C744" s="30">
        <f>COUNTIF(PlanAktarılacakSayfa!C:C,B744)</f>
        <v>0</v>
      </c>
      <c r="F744" s="33">
        <f>COUNTIF(PlanAktarılacakSayfa!C:C,E744)</f>
        <v>0</v>
      </c>
    </row>
    <row r="745" spans="3:6" x14ac:dyDescent="0.25">
      <c r="C745" s="30">
        <f>COUNTIF(PlanAktarılacakSayfa!C:C,B745)</f>
        <v>0</v>
      </c>
      <c r="F745" s="33">
        <f>COUNTIF(PlanAktarılacakSayfa!C:C,E745)</f>
        <v>0</v>
      </c>
    </row>
    <row r="746" spans="3:6" x14ac:dyDescent="0.25">
      <c r="C746" s="30">
        <f>COUNTIF(PlanAktarılacakSayfa!C:C,B746)</f>
        <v>0</v>
      </c>
      <c r="F746" s="33">
        <f>COUNTIF(PlanAktarılacakSayfa!C:C,E746)</f>
        <v>0</v>
      </c>
    </row>
    <row r="747" spans="3:6" x14ac:dyDescent="0.25">
      <c r="C747" s="30">
        <f>COUNTIF(PlanAktarılacakSayfa!C:C,B747)</f>
        <v>0</v>
      </c>
      <c r="F747" s="33">
        <f>COUNTIF(PlanAktarılacakSayfa!C:C,E747)</f>
        <v>0</v>
      </c>
    </row>
    <row r="748" spans="3:6" x14ac:dyDescent="0.25">
      <c r="C748" s="30">
        <f>COUNTIF(PlanAktarılacakSayfa!C:C,B748)</f>
        <v>0</v>
      </c>
      <c r="F748" s="33">
        <f>COUNTIF(PlanAktarılacakSayfa!C:C,E748)</f>
        <v>0</v>
      </c>
    </row>
    <row r="749" spans="3:6" x14ac:dyDescent="0.25">
      <c r="C749" s="30">
        <f>COUNTIF(PlanAktarılacakSayfa!C:C,B749)</f>
        <v>0</v>
      </c>
      <c r="F749" s="33">
        <f>COUNTIF(PlanAktarılacakSayfa!C:C,E749)</f>
        <v>0</v>
      </c>
    </row>
    <row r="750" spans="3:6" x14ac:dyDescent="0.25">
      <c r="C750" s="30">
        <f>COUNTIF(PlanAktarılacakSayfa!C:C,B750)</f>
        <v>0</v>
      </c>
      <c r="F750" s="33">
        <f>COUNTIF(PlanAktarılacakSayfa!C:C,E750)</f>
        <v>0</v>
      </c>
    </row>
    <row r="751" spans="3:6" x14ac:dyDescent="0.25">
      <c r="C751" s="30">
        <f>COUNTIF(PlanAktarılacakSayfa!C:C,B751)</f>
        <v>0</v>
      </c>
      <c r="F751" s="33">
        <f>COUNTIF(PlanAktarılacakSayfa!C:C,E751)</f>
        <v>0</v>
      </c>
    </row>
    <row r="752" spans="3:6" x14ac:dyDescent="0.25">
      <c r="C752" s="30">
        <f>COUNTIF(PlanAktarılacakSayfa!C:C,B752)</f>
        <v>0</v>
      </c>
      <c r="F752" s="33">
        <f>COUNTIF(PlanAktarılacakSayfa!C:C,E752)</f>
        <v>0</v>
      </c>
    </row>
    <row r="753" spans="3:6" x14ac:dyDescent="0.25">
      <c r="C753" s="30">
        <f>COUNTIF(PlanAktarılacakSayfa!C:C,B753)</f>
        <v>0</v>
      </c>
      <c r="F753" s="33">
        <f>COUNTIF(PlanAktarılacakSayfa!C:C,E753)</f>
        <v>0</v>
      </c>
    </row>
    <row r="754" spans="3:6" x14ac:dyDescent="0.25">
      <c r="C754" s="30">
        <f>COUNTIF(PlanAktarılacakSayfa!C:C,B754)</f>
        <v>0</v>
      </c>
      <c r="F754" s="33">
        <f>COUNTIF(PlanAktarılacakSayfa!C:C,E754)</f>
        <v>0</v>
      </c>
    </row>
    <row r="755" spans="3:6" x14ac:dyDescent="0.25">
      <c r="C755" s="30">
        <f>COUNTIF(PlanAktarılacakSayfa!C:C,B755)</f>
        <v>0</v>
      </c>
      <c r="F755" s="33">
        <f>COUNTIF(PlanAktarılacakSayfa!C:C,E755)</f>
        <v>0</v>
      </c>
    </row>
    <row r="756" spans="3:6" x14ac:dyDescent="0.25">
      <c r="C756" s="30">
        <f>COUNTIF(PlanAktarılacakSayfa!C:C,B756)</f>
        <v>0</v>
      </c>
      <c r="F756" s="33">
        <f>COUNTIF(PlanAktarılacakSayfa!C:C,E756)</f>
        <v>0</v>
      </c>
    </row>
    <row r="757" spans="3:6" x14ac:dyDescent="0.25">
      <c r="C757" s="30">
        <f>COUNTIF(PlanAktarılacakSayfa!C:C,B757)</f>
        <v>0</v>
      </c>
      <c r="F757" s="33">
        <f>COUNTIF(PlanAktarılacakSayfa!C:C,E757)</f>
        <v>0</v>
      </c>
    </row>
    <row r="758" spans="3:6" x14ac:dyDescent="0.25">
      <c r="C758" s="30">
        <f>COUNTIF(PlanAktarılacakSayfa!C:C,B758)</f>
        <v>0</v>
      </c>
      <c r="F758" s="33">
        <f>COUNTIF(PlanAktarılacakSayfa!C:C,E758)</f>
        <v>0</v>
      </c>
    </row>
    <row r="759" spans="3:6" x14ac:dyDescent="0.25">
      <c r="C759" s="30">
        <f>COUNTIF(PlanAktarılacakSayfa!C:C,B759)</f>
        <v>0</v>
      </c>
      <c r="F759" s="33">
        <f>COUNTIF(PlanAktarılacakSayfa!C:C,E759)</f>
        <v>0</v>
      </c>
    </row>
    <row r="760" spans="3:6" x14ac:dyDescent="0.25">
      <c r="C760" s="30">
        <f>COUNTIF(PlanAktarılacakSayfa!C:C,B760)</f>
        <v>0</v>
      </c>
      <c r="F760" s="33">
        <f>COUNTIF(PlanAktarılacakSayfa!C:C,E760)</f>
        <v>0</v>
      </c>
    </row>
    <row r="761" spans="3:6" x14ac:dyDescent="0.25">
      <c r="C761" s="30">
        <f>COUNTIF(PlanAktarılacakSayfa!C:C,B761)</f>
        <v>0</v>
      </c>
      <c r="F761" s="33">
        <f>COUNTIF(PlanAktarılacakSayfa!C:C,E761)</f>
        <v>0</v>
      </c>
    </row>
    <row r="762" spans="3:6" x14ac:dyDescent="0.25">
      <c r="C762" s="30">
        <f>COUNTIF(PlanAktarılacakSayfa!C:C,B762)</f>
        <v>0</v>
      </c>
      <c r="F762" s="33">
        <f>COUNTIF(PlanAktarılacakSayfa!C:C,E762)</f>
        <v>0</v>
      </c>
    </row>
    <row r="763" spans="3:6" x14ac:dyDescent="0.25">
      <c r="C763" s="30">
        <f>COUNTIF(PlanAktarılacakSayfa!C:C,B763)</f>
        <v>0</v>
      </c>
      <c r="F763" s="33">
        <f>COUNTIF(PlanAktarılacakSayfa!C:C,E763)</f>
        <v>0</v>
      </c>
    </row>
    <row r="764" spans="3:6" x14ac:dyDescent="0.25">
      <c r="C764" s="30">
        <f>COUNTIF(PlanAktarılacakSayfa!C:C,B764)</f>
        <v>0</v>
      </c>
      <c r="F764" s="33">
        <f>COUNTIF(PlanAktarılacakSayfa!C:C,E764)</f>
        <v>0</v>
      </c>
    </row>
    <row r="765" spans="3:6" x14ac:dyDescent="0.25">
      <c r="C765" s="30">
        <f>COUNTIF(PlanAktarılacakSayfa!C:C,B765)</f>
        <v>0</v>
      </c>
      <c r="F765" s="33">
        <f>COUNTIF(PlanAktarılacakSayfa!C:C,E765)</f>
        <v>0</v>
      </c>
    </row>
    <row r="766" spans="3:6" x14ac:dyDescent="0.25">
      <c r="C766" s="30">
        <f>COUNTIF(PlanAktarılacakSayfa!C:C,B766)</f>
        <v>0</v>
      </c>
      <c r="F766" s="33">
        <f>COUNTIF(PlanAktarılacakSayfa!C:C,E766)</f>
        <v>0</v>
      </c>
    </row>
    <row r="767" spans="3:6" x14ac:dyDescent="0.25">
      <c r="C767" s="30">
        <f>COUNTIF(PlanAktarılacakSayfa!C:C,B767)</f>
        <v>0</v>
      </c>
      <c r="F767" s="33">
        <f>COUNTIF(PlanAktarılacakSayfa!C:C,E767)</f>
        <v>0</v>
      </c>
    </row>
    <row r="768" spans="3:6" x14ac:dyDescent="0.25">
      <c r="C768" s="30">
        <f>COUNTIF(PlanAktarılacakSayfa!C:C,B768)</f>
        <v>0</v>
      </c>
      <c r="F768" s="33">
        <f>COUNTIF(PlanAktarılacakSayfa!C:C,E768)</f>
        <v>0</v>
      </c>
    </row>
    <row r="769" spans="3:6" x14ac:dyDescent="0.25">
      <c r="C769" s="30">
        <f>COUNTIF(PlanAktarılacakSayfa!C:C,B769)</f>
        <v>0</v>
      </c>
      <c r="F769" s="33">
        <f>COUNTIF(PlanAktarılacakSayfa!C:C,E769)</f>
        <v>0</v>
      </c>
    </row>
    <row r="770" spans="3:6" x14ac:dyDescent="0.25">
      <c r="C770" s="30">
        <f>COUNTIF(PlanAktarılacakSayfa!C:C,B770)</f>
        <v>0</v>
      </c>
      <c r="F770" s="33">
        <f>COUNTIF(PlanAktarılacakSayfa!C:C,E770)</f>
        <v>0</v>
      </c>
    </row>
    <row r="771" spans="3:6" x14ac:dyDescent="0.25">
      <c r="C771" s="30">
        <f>COUNTIF(PlanAktarılacakSayfa!C:C,B771)</f>
        <v>0</v>
      </c>
      <c r="F771" s="33">
        <f>COUNTIF(PlanAktarılacakSayfa!C:C,E771)</f>
        <v>0</v>
      </c>
    </row>
    <row r="772" spans="3:6" x14ac:dyDescent="0.25">
      <c r="C772" s="30">
        <f>COUNTIF(PlanAktarılacakSayfa!C:C,B772)</f>
        <v>0</v>
      </c>
      <c r="F772" s="33">
        <f>COUNTIF(PlanAktarılacakSayfa!C:C,E772)</f>
        <v>0</v>
      </c>
    </row>
    <row r="773" spans="3:6" x14ac:dyDescent="0.25">
      <c r="C773" s="30">
        <f>COUNTIF(PlanAktarılacakSayfa!C:C,B773)</f>
        <v>0</v>
      </c>
      <c r="F773" s="33">
        <f>COUNTIF(PlanAktarılacakSayfa!C:C,E773)</f>
        <v>0</v>
      </c>
    </row>
    <row r="774" spans="3:6" x14ac:dyDescent="0.25">
      <c r="C774" s="30">
        <f>COUNTIF(PlanAktarılacakSayfa!C:C,B774)</f>
        <v>0</v>
      </c>
      <c r="F774" s="33">
        <f>COUNTIF(PlanAktarılacakSayfa!C:C,E774)</f>
        <v>0</v>
      </c>
    </row>
    <row r="775" spans="3:6" x14ac:dyDescent="0.25">
      <c r="C775" s="30">
        <f>COUNTIF(PlanAktarılacakSayfa!C:C,B775)</f>
        <v>0</v>
      </c>
      <c r="F775" s="33">
        <f>COUNTIF(PlanAktarılacakSayfa!C:C,E775)</f>
        <v>0</v>
      </c>
    </row>
    <row r="776" spans="3:6" x14ac:dyDescent="0.25">
      <c r="C776" s="30">
        <f>COUNTIF(PlanAktarılacakSayfa!C:C,B776)</f>
        <v>0</v>
      </c>
      <c r="F776" s="33">
        <f>COUNTIF(PlanAktarılacakSayfa!C:C,E776)</f>
        <v>0</v>
      </c>
    </row>
    <row r="777" spans="3:6" x14ac:dyDescent="0.25">
      <c r="C777" s="30">
        <f>COUNTIF(PlanAktarılacakSayfa!C:C,B777)</f>
        <v>0</v>
      </c>
      <c r="F777" s="33">
        <f>COUNTIF(PlanAktarılacakSayfa!C:C,E777)</f>
        <v>0</v>
      </c>
    </row>
    <row r="778" spans="3:6" x14ac:dyDescent="0.25">
      <c r="C778" s="30">
        <f>COUNTIF(PlanAktarılacakSayfa!C:C,B778)</f>
        <v>0</v>
      </c>
      <c r="F778" s="33">
        <f>COUNTIF(PlanAktarılacakSayfa!C:C,E778)</f>
        <v>0</v>
      </c>
    </row>
    <row r="779" spans="3:6" x14ac:dyDescent="0.25">
      <c r="C779" s="30">
        <f>COUNTIF(PlanAktarılacakSayfa!C:C,B779)</f>
        <v>0</v>
      </c>
      <c r="F779" s="33">
        <f>COUNTIF(PlanAktarılacakSayfa!C:C,E779)</f>
        <v>0</v>
      </c>
    </row>
    <row r="780" spans="3:6" x14ac:dyDescent="0.25">
      <c r="C780" s="30">
        <f>COUNTIF(PlanAktarılacakSayfa!C:C,B780)</f>
        <v>0</v>
      </c>
      <c r="F780" s="33">
        <f>COUNTIF(PlanAktarılacakSayfa!C:C,E780)</f>
        <v>0</v>
      </c>
    </row>
    <row r="781" spans="3:6" x14ac:dyDescent="0.25">
      <c r="C781" s="30">
        <f>COUNTIF(PlanAktarılacakSayfa!C:C,B781)</f>
        <v>0</v>
      </c>
      <c r="F781" s="33">
        <f>COUNTIF(PlanAktarılacakSayfa!C:C,E781)</f>
        <v>0</v>
      </c>
    </row>
    <row r="782" spans="3:6" x14ac:dyDescent="0.25">
      <c r="C782" s="30">
        <f>COUNTIF(PlanAktarılacakSayfa!C:C,B782)</f>
        <v>0</v>
      </c>
      <c r="F782" s="33">
        <f>COUNTIF(PlanAktarılacakSayfa!C:C,E782)</f>
        <v>0</v>
      </c>
    </row>
    <row r="783" spans="3:6" x14ac:dyDescent="0.25">
      <c r="C783" s="30">
        <f>COUNTIF(PlanAktarılacakSayfa!C:C,B783)</f>
        <v>0</v>
      </c>
      <c r="F783" s="33">
        <f>COUNTIF(PlanAktarılacakSayfa!C:C,E783)</f>
        <v>0</v>
      </c>
    </row>
    <row r="784" spans="3:6" x14ac:dyDescent="0.25">
      <c r="C784" s="30">
        <f>COUNTIF(PlanAktarılacakSayfa!C:C,B784)</f>
        <v>0</v>
      </c>
      <c r="F784" s="33">
        <f>COUNTIF(PlanAktarılacakSayfa!C:C,E784)</f>
        <v>0</v>
      </c>
    </row>
    <row r="785" spans="3:6" x14ac:dyDescent="0.25">
      <c r="C785" s="30">
        <f>COUNTIF(PlanAktarılacakSayfa!C:C,B785)</f>
        <v>0</v>
      </c>
      <c r="F785" s="33">
        <f>COUNTIF(PlanAktarılacakSayfa!C:C,E785)</f>
        <v>0</v>
      </c>
    </row>
    <row r="786" spans="3:6" x14ac:dyDescent="0.25">
      <c r="C786" s="30">
        <f>COUNTIF(PlanAktarılacakSayfa!C:C,B786)</f>
        <v>0</v>
      </c>
      <c r="F786" s="33">
        <f>COUNTIF(PlanAktarılacakSayfa!C:C,E786)</f>
        <v>0</v>
      </c>
    </row>
    <row r="787" spans="3:6" x14ac:dyDescent="0.25">
      <c r="C787" s="30">
        <f>COUNTIF(PlanAktarılacakSayfa!C:C,B787)</f>
        <v>0</v>
      </c>
      <c r="F787" s="33">
        <f>COUNTIF(PlanAktarılacakSayfa!C:C,E787)</f>
        <v>0</v>
      </c>
    </row>
    <row r="788" spans="3:6" x14ac:dyDescent="0.25">
      <c r="C788" s="30">
        <f>COUNTIF(PlanAktarılacakSayfa!C:C,B788)</f>
        <v>0</v>
      </c>
      <c r="F788" s="33">
        <f>COUNTIF(PlanAktarılacakSayfa!C:C,E788)</f>
        <v>0</v>
      </c>
    </row>
    <row r="789" spans="3:6" x14ac:dyDescent="0.25">
      <c r="C789" s="30">
        <f>COUNTIF(PlanAktarılacakSayfa!C:C,B789)</f>
        <v>0</v>
      </c>
      <c r="F789" s="33">
        <f>COUNTIF(PlanAktarılacakSayfa!C:C,E789)</f>
        <v>0</v>
      </c>
    </row>
    <row r="790" spans="3:6" x14ac:dyDescent="0.25">
      <c r="C790" s="30">
        <f>COUNTIF(PlanAktarılacakSayfa!C:C,B790)</f>
        <v>0</v>
      </c>
      <c r="F790" s="33">
        <f>COUNTIF(PlanAktarılacakSayfa!C:C,E790)</f>
        <v>0</v>
      </c>
    </row>
    <row r="791" spans="3:6" x14ac:dyDescent="0.25">
      <c r="C791" s="30">
        <f>COUNTIF(PlanAktarılacakSayfa!C:C,B791)</f>
        <v>0</v>
      </c>
      <c r="F791" s="33">
        <f>COUNTIF(PlanAktarılacakSayfa!C:C,E791)</f>
        <v>0</v>
      </c>
    </row>
    <row r="792" spans="3:6" x14ac:dyDescent="0.25">
      <c r="C792" s="30">
        <f>COUNTIF(PlanAktarılacakSayfa!C:C,B792)</f>
        <v>0</v>
      </c>
      <c r="F792" s="33">
        <f>COUNTIF(PlanAktarılacakSayfa!C:C,E792)</f>
        <v>0</v>
      </c>
    </row>
    <row r="793" spans="3:6" x14ac:dyDescent="0.25">
      <c r="C793" s="30">
        <f>COUNTIF(PlanAktarılacakSayfa!C:C,B793)</f>
        <v>0</v>
      </c>
      <c r="F793" s="33">
        <f>COUNTIF(PlanAktarılacakSayfa!C:C,E793)</f>
        <v>0</v>
      </c>
    </row>
    <row r="794" spans="3:6" x14ac:dyDescent="0.25">
      <c r="C794" s="30">
        <f>COUNTIF(PlanAktarılacakSayfa!C:C,B794)</f>
        <v>0</v>
      </c>
      <c r="F794" s="33">
        <f>COUNTIF(PlanAktarılacakSayfa!C:C,E794)</f>
        <v>0</v>
      </c>
    </row>
    <row r="795" spans="3:6" x14ac:dyDescent="0.25">
      <c r="C795" s="30">
        <f>COUNTIF(PlanAktarılacakSayfa!C:C,B795)</f>
        <v>0</v>
      </c>
      <c r="F795" s="33">
        <f>COUNTIF(PlanAktarılacakSayfa!C:C,E795)</f>
        <v>0</v>
      </c>
    </row>
    <row r="796" spans="3:6" x14ac:dyDescent="0.25">
      <c r="C796" s="30">
        <f>COUNTIF(PlanAktarılacakSayfa!C:C,B796)</f>
        <v>0</v>
      </c>
      <c r="F796" s="33">
        <f>COUNTIF(PlanAktarılacakSayfa!C:C,E796)</f>
        <v>0</v>
      </c>
    </row>
    <row r="797" spans="3:6" x14ac:dyDescent="0.25">
      <c r="C797" s="30">
        <f>COUNTIF(PlanAktarılacakSayfa!C:C,B797)</f>
        <v>0</v>
      </c>
      <c r="F797" s="33">
        <f>COUNTIF(PlanAktarılacakSayfa!C:C,E797)</f>
        <v>0</v>
      </c>
    </row>
    <row r="798" spans="3:6" x14ac:dyDescent="0.25">
      <c r="C798" s="30">
        <f>COUNTIF(PlanAktarılacakSayfa!C:C,B798)</f>
        <v>0</v>
      </c>
      <c r="F798" s="33">
        <f>COUNTIF(PlanAktarılacakSayfa!C:C,E798)</f>
        <v>0</v>
      </c>
    </row>
    <row r="799" spans="3:6" x14ac:dyDescent="0.25">
      <c r="C799" s="30">
        <f>COUNTIF(PlanAktarılacakSayfa!C:C,B799)</f>
        <v>0</v>
      </c>
      <c r="F799" s="33">
        <f>COUNTIF(PlanAktarılacakSayfa!C:C,E799)</f>
        <v>0</v>
      </c>
    </row>
    <row r="800" spans="3:6" x14ac:dyDescent="0.25">
      <c r="C800" s="30">
        <f>COUNTIF(PlanAktarılacakSayfa!C:C,B800)</f>
        <v>0</v>
      </c>
      <c r="F800" s="33">
        <f>COUNTIF(PlanAktarılacakSayfa!C:C,E800)</f>
        <v>0</v>
      </c>
    </row>
    <row r="801" spans="3:6" x14ac:dyDescent="0.25">
      <c r="C801" s="30">
        <f>COUNTIF(PlanAktarılacakSayfa!C:C,B801)</f>
        <v>0</v>
      </c>
      <c r="F801" s="33">
        <f>COUNTIF(PlanAktarılacakSayfa!C:C,E801)</f>
        <v>0</v>
      </c>
    </row>
    <row r="802" spans="3:6" x14ac:dyDescent="0.25">
      <c r="C802" s="30">
        <f>COUNTIF(PlanAktarılacakSayfa!C:C,B802)</f>
        <v>0</v>
      </c>
      <c r="F802" s="33">
        <f>COUNTIF(PlanAktarılacakSayfa!C:C,E802)</f>
        <v>0</v>
      </c>
    </row>
    <row r="803" spans="3:6" x14ac:dyDescent="0.25">
      <c r="C803" s="30">
        <f>COUNTIF(PlanAktarılacakSayfa!C:C,B803)</f>
        <v>0</v>
      </c>
      <c r="F803" s="33">
        <f>COUNTIF(PlanAktarılacakSayfa!C:C,E803)</f>
        <v>0</v>
      </c>
    </row>
    <row r="804" spans="3:6" x14ac:dyDescent="0.25">
      <c r="C804" s="30">
        <f>COUNTIF(PlanAktarılacakSayfa!C:C,B804)</f>
        <v>0</v>
      </c>
      <c r="F804" s="33">
        <f>COUNTIF(PlanAktarılacakSayfa!C:C,E804)</f>
        <v>0</v>
      </c>
    </row>
    <row r="805" spans="3:6" x14ac:dyDescent="0.25">
      <c r="C805" s="30">
        <f>COUNTIF(PlanAktarılacakSayfa!C:C,B805)</f>
        <v>0</v>
      </c>
      <c r="F805" s="33">
        <f>COUNTIF(PlanAktarılacakSayfa!C:C,E805)</f>
        <v>0</v>
      </c>
    </row>
    <row r="806" spans="3:6" x14ac:dyDescent="0.25">
      <c r="C806" s="30">
        <f>COUNTIF(PlanAktarılacakSayfa!C:C,B806)</f>
        <v>0</v>
      </c>
      <c r="F806" s="33">
        <f>COUNTIF(PlanAktarılacakSayfa!C:C,E806)</f>
        <v>0</v>
      </c>
    </row>
    <row r="807" spans="3:6" x14ac:dyDescent="0.25">
      <c r="C807" s="30">
        <f>COUNTIF(PlanAktarılacakSayfa!C:C,B807)</f>
        <v>0</v>
      </c>
      <c r="F807" s="33">
        <f>COUNTIF(PlanAktarılacakSayfa!C:C,E807)</f>
        <v>0</v>
      </c>
    </row>
    <row r="808" spans="3:6" x14ac:dyDescent="0.25">
      <c r="C808" s="30">
        <f>COUNTIF(PlanAktarılacakSayfa!C:C,B808)</f>
        <v>0</v>
      </c>
      <c r="F808" s="33">
        <f>COUNTIF(PlanAktarılacakSayfa!C:C,E808)</f>
        <v>0</v>
      </c>
    </row>
    <row r="809" spans="3:6" x14ac:dyDescent="0.25">
      <c r="C809" s="30">
        <f>COUNTIF(PlanAktarılacakSayfa!C:C,B809)</f>
        <v>0</v>
      </c>
      <c r="F809" s="33">
        <f>COUNTIF(PlanAktarılacakSayfa!C:C,E809)</f>
        <v>0</v>
      </c>
    </row>
    <row r="810" spans="3:6" x14ac:dyDescent="0.25">
      <c r="C810" s="30">
        <f>COUNTIF(PlanAktarılacakSayfa!C:C,B810)</f>
        <v>0</v>
      </c>
      <c r="F810" s="33">
        <f>COUNTIF(PlanAktarılacakSayfa!C:C,E810)</f>
        <v>0</v>
      </c>
    </row>
    <row r="811" spans="3:6" x14ac:dyDescent="0.25">
      <c r="C811" s="30">
        <f>COUNTIF(PlanAktarılacakSayfa!C:C,B811)</f>
        <v>0</v>
      </c>
      <c r="F811" s="33">
        <f>COUNTIF(PlanAktarılacakSayfa!C:C,E811)</f>
        <v>0</v>
      </c>
    </row>
    <row r="812" spans="3:6" x14ac:dyDescent="0.25">
      <c r="C812" s="30">
        <f>COUNTIF(PlanAktarılacakSayfa!C:C,B812)</f>
        <v>0</v>
      </c>
      <c r="F812" s="33">
        <f>COUNTIF(PlanAktarılacakSayfa!C:C,E812)</f>
        <v>0</v>
      </c>
    </row>
    <row r="813" spans="3:6" x14ac:dyDescent="0.25">
      <c r="C813" s="30">
        <f>COUNTIF(PlanAktarılacakSayfa!C:C,B813)</f>
        <v>0</v>
      </c>
      <c r="F813" s="33">
        <f>COUNTIF(PlanAktarılacakSayfa!C:C,E813)</f>
        <v>0</v>
      </c>
    </row>
    <row r="814" spans="3:6" x14ac:dyDescent="0.25">
      <c r="C814" s="30">
        <f>COUNTIF(PlanAktarılacakSayfa!C:C,B814)</f>
        <v>0</v>
      </c>
      <c r="F814" s="33">
        <f>COUNTIF(PlanAktarılacakSayfa!C:C,E814)</f>
        <v>0</v>
      </c>
    </row>
    <row r="815" spans="3:6" x14ac:dyDescent="0.25">
      <c r="C815" s="30">
        <f>COUNTIF(PlanAktarılacakSayfa!C:C,B815)</f>
        <v>0</v>
      </c>
      <c r="F815" s="33">
        <f>COUNTIF(PlanAktarılacakSayfa!C:C,E815)</f>
        <v>0</v>
      </c>
    </row>
    <row r="816" spans="3:6" x14ac:dyDescent="0.25">
      <c r="C816" s="30">
        <f>COUNTIF(PlanAktarılacakSayfa!C:C,B816)</f>
        <v>0</v>
      </c>
      <c r="F816" s="33">
        <f>COUNTIF(PlanAktarılacakSayfa!C:C,E816)</f>
        <v>0</v>
      </c>
    </row>
    <row r="817" spans="3:6" x14ac:dyDescent="0.25">
      <c r="C817" s="30">
        <f>COUNTIF(PlanAktarılacakSayfa!C:C,B817)</f>
        <v>0</v>
      </c>
      <c r="F817" s="33">
        <f>COUNTIF(PlanAktarılacakSayfa!C:C,E817)</f>
        <v>0</v>
      </c>
    </row>
    <row r="818" spans="3:6" x14ac:dyDescent="0.25">
      <c r="C818" s="30">
        <f>COUNTIF(PlanAktarılacakSayfa!C:C,B818)</f>
        <v>0</v>
      </c>
      <c r="F818" s="33">
        <f>COUNTIF(PlanAktarılacakSayfa!C:C,E818)</f>
        <v>0</v>
      </c>
    </row>
    <row r="819" spans="3:6" x14ac:dyDescent="0.25">
      <c r="C819" s="30">
        <f>COUNTIF(PlanAktarılacakSayfa!C:C,B819)</f>
        <v>0</v>
      </c>
      <c r="F819" s="33">
        <f>COUNTIF(PlanAktarılacakSayfa!C:C,E819)</f>
        <v>0</v>
      </c>
    </row>
    <row r="820" spans="3:6" x14ac:dyDescent="0.25">
      <c r="C820" s="30">
        <f>COUNTIF(PlanAktarılacakSayfa!C:C,B820)</f>
        <v>0</v>
      </c>
      <c r="F820" s="33">
        <f>COUNTIF(PlanAktarılacakSayfa!C:C,E820)</f>
        <v>0</v>
      </c>
    </row>
    <row r="821" spans="3:6" x14ac:dyDescent="0.25">
      <c r="C821" s="30">
        <f>COUNTIF(PlanAktarılacakSayfa!C:C,B821)</f>
        <v>0</v>
      </c>
      <c r="F821" s="33">
        <f>COUNTIF(PlanAktarılacakSayfa!C:C,E821)</f>
        <v>0</v>
      </c>
    </row>
    <row r="822" spans="3:6" x14ac:dyDescent="0.25">
      <c r="C822" s="30">
        <f>COUNTIF(PlanAktarılacakSayfa!C:C,B822)</f>
        <v>0</v>
      </c>
      <c r="F822" s="33">
        <f>COUNTIF(PlanAktarılacakSayfa!C:C,E822)</f>
        <v>0</v>
      </c>
    </row>
    <row r="823" spans="3:6" x14ac:dyDescent="0.25">
      <c r="C823" s="30">
        <f>COUNTIF(PlanAktarılacakSayfa!C:C,B823)</f>
        <v>0</v>
      </c>
      <c r="F823" s="33">
        <f>COUNTIF(PlanAktarılacakSayfa!C:C,E823)</f>
        <v>0</v>
      </c>
    </row>
    <row r="824" spans="3:6" x14ac:dyDescent="0.25">
      <c r="C824" s="30">
        <f>COUNTIF(PlanAktarılacakSayfa!C:C,B824)</f>
        <v>0</v>
      </c>
      <c r="F824" s="33">
        <f>COUNTIF(PlanAktarılacakSayfa!C:C,E824)</f>
        <v>0</v>
      </c>
    </row>
    <row r="825" spans="3:6" x14ac:dyDescent="0.25">
      <c r="C825" s="30">
        <f>COUNTIF(PlanAktarılacakSayfa!C:C,B825)</f>
        <v>0</v>
      </c>
      <c r="F825" s="33">
        <f>COUNTIF(PlanAktarılacakSayfa!C:C,E825)</f>
        <v>0</v>
      </c>
    </row>
    <row r="826" spans="3:6" x14ac:dyDescent="0.25">
      <c r="C826" s="30">
        <f>COUNTIF(PlanAktarılacakSayfa!C:C,B826)</f>
        <v>0</v>
      </c>
      <c r="F826" s="33">
        <f>COUNTIF(PlanAktarılacakSayfa!C:C,E826)</f>
        <v>0</v>
      </c>
    </row>
    <row r="827" spans="3:6" x14ac:dyDescent="0.25">
      <c r="C827" s="30">
        <f>COUNTIF(PlanAktarılacakSayfa!C:C,B827)</f>
        <v>0</v>
      </c>
      <c r="F827" s="33">
        <f>COUNTIF(PlanAktarılacakSayfa!C:C,E827)</f>
        <v>0</v>
      </c>
    </row>
    <row r="828" spans="3:6" x14ac:dyDescent="0.25">
      <c r="C828" s="30">
        <f>COUNTIF(PlanAktarılacakSayfa!C:C,B828)</f>
        <v>0</v>
      </c>
      <c r="F828" s="33">
        <f>COUNTIF(PlanAktarılacakSayfa!C:C,E828)</f>
        <v>0</v>
      </c>
    </row>
    <row r="829" spans="3:6" x14ac:dyDescent="0.25">
      <c r="C829" s="30">
        <f>COUNTIF(PlanAktarılacakSayfa!C:C,B829)</f>
        <v>0</v>
      </c>
      <c r="F829" s="33">
        <f>COUNTIF(PlanAktarılacakSayfa!C:C,E829)</f>
        <v>0</v>
      </c>
    </row>
    <row r="830" spans="3:6" x14ac:dyDescent="0.25">
      <c r="C830" s="30">
        <f>COUNTIF(PlanAktarılacakSayfa!C:C,B830)</f>
        <v>0</v>
      </c>
      <c r="F830" s="33">
        <f>COUNTIF(PlanAktarılacakSayfa!C:C,E830)</f>
        <v>0</v>
      </c>
    </row>
    <row r="831" spans="3:6" x14ac:dyDescent="0.25">
      <c r="C831" s="30">
        <f>COUNTIF(PlanAktarılacakSayfa!C:C,B831)</f>
        <v>0</v>
      </c>
      <c r="F831" s="33">
        <f>COUNTIF(PlanAktarılacakSayfa!C:C,E831)</f>
        <v>0</v>
      </c>
    </row>
    <row r="832" spans="3:6" x14ac:dyDescent="0.25">
      <c r="C832" s="30">
        <f>COUNTIF(PlanAktarılacakSayfa!C:C,B832)</f>
        <v>0</v>
      </c>
      <c r="F832" s="33">
        <f>COUNTIF(PlanAktarılacakSayfa!C:C,E832)</f>
        <v>0</v>
      </c>
    </row>
    <row r="833" spans="3:6" x14ac:dyDescent="0.25">
      <c r="C833" s="30">
        <f>COUNTIF(PlanAktarılacakSayfa!C:C,B833)</f>
        <v>0</v>
      </c>
      <c r="F833" s="33">
        <f>COUNTIF(PlanAktarılacakSayfa!C:C,E833)</f>
        <v>0</v>
      </c>
    </row>
    <row r="834" spans="3:6" x14ac:dyDescent="0.25">
      <c r="C834" s="30">
        <f>COUNTIF(PlanAktarılacakSayfa!C:C,B834)</f>
        <v>0</v>
      </c>
      <c r="F834" s="33">
        <f>COUNTIF(PlanAktarılacakSayfa!C:C,E834)</f>
        <v>0</v>
      </c>
    </row>
    <row r="835" spans="3:6" x14ac:dyDescent="0.25">
      <c r="C835" s="30">
        <f>COUNTIF(PlanAktarılacakSayfa!C:C,B835)</f>
        <v>0</v>
      </c>
      <c r="F835" s="33">
        <f>COUNTIF(PlanAktarılacakSayfa!C:C,E835)</f>
        <v>0</v>
      </c>
    </row>
    <row r="836" spans="3:6" x14ac:dyDescent="0.25">
      <c r="C836" s="30">
        <f>COUNTIF(PlanAktarılacakSayfa!C:C,B836)</f>
        <v>0</v>
      </c>
      <c r="F836" s="33">
        <f>COUNTIF(PlanAktarılacakSayfa!C:C,E836)</f>
        <v>0</v>
      </c>
    </row>
    <row r="837" spans="3:6" x14ac:dyDescent="0.25">
      <c r="C837" s="30">
        <f>COUNTIF(PlanAktarılacakSayfa!C:C,B837)</f>
        <v>0</v>
      </c>
      <c r="F837" s="33">
        <f>COUNTIF(PlanAktarılacakSayfa!C:C,E837)</f>
        <v>0</v>
      </c>
    </row>
    <row r="838" spans="3:6" x14ac:dyDescent="0.25">
      <c r="C838" s="30">
        <f>COUNTIF(PlanAktarılacakSayfa!C:C,B838)</f>
        <v>0</v>
      </c>
      <c r="F838" s="33">
        <f>COUNTIF(PlanAktarılacakSayfa!C:C,E838)</f>
        <v>0</v>
      </c>
    </row>
    <row r="839" spans="3:6" x14ac:dyDescent="0.25">
      <c r="C839" s="30">
        <f>COUNTIF(PlanAktarılacakSayfa!C:C,B839)</f>
        <v>0</v>
      </c>
      <c r="F839" s="33">
        <f>COUNTIF(PlanAktarılacakSayfa!C:C,E839)</f>
        <v>0</v>
      </c>
    </row>
    <row r="840" spans="3:6" x14ac:dyDescent="0.25">
      <c r="C840" s="30">
        <f>COUNTIF(PlanAktarılacakSayfa!C:C,B840)</f>
        <v>0</v>
      </c>
      <c r="F840" s="33">
        <f>COUNTIF(PlanAktarılacakSayfa!C:C,E840)</f>
        <v>0</v>
      </c>
    </row>
    <row r="841" spans="3:6" x14ac:dyDescent="0.25">
      <c r="C841" s="30">
        <f>COUNTIF(PlanAktarılacakSayfa!C:C,B841)</f>
        <v>0</v>
      </c>
      <c r="F841" s="33">
        <f>COUNTIF(PlanAktarılacakSayfa!C:C,E841)</f>
        <v>0</v>
      </c>
    </row>
    <row r="842" spans="3:6" x14ac:dyDescent="0.25">
      <c r="C842" s="30">
        <f>COUNTIF(PlanAktarılacakSayfa!C:C,B842)</f>
        <v>0</v>
      </c>
      <c r="F842" s="33">
        <f>COUNTIF(PlanAktarılacakSayfa!C:C,E842)</f>
        <v>0</v>
      </c>
    </row>
    <row r="843" spans="3:6" x14ac:dyDescent="0.25">
      <c r="C843" s="30">
        <f>COUNTIF(PlanAktarılacakSayfa!C:C,B843)</f>
        <v>0</v>
      </c>
      <c r="F843" s="33">
        <f>COUNTIF(PlanAktarılacakSayfa!C:C,E843)</f>
        <v>0</v>
      </c>
    </row>
    <row r="844" spans="3:6" x14ac:dyDescent="0.25">
      <c r="C844" s="30">
        <f>COUNTIF(PlanAktarılacakSayfa!C:C,B844)</f>
        <v>0</v>
      </c>
      <c r="F844" s="33">
        <f>COUNTIF(PlanAktarılacakSayfa!C:C,E844)</f>
        <v>0</v>
      </c>
    </row>
    <row r="845" spans="3:6" x14ac:dyDescent="0.25">
      <c r="C845" s="30">
        <f>COUNTIF(PlanAktarılacakSayfa!C:C,B845)</f>
        <v>0</v>
      </c>
      <c r="F845" s="33">
        <f>COUNTIF(PlanAktarılacakSayfa!C:C,E845)</f>
        <v>0</v>
      </c>
    </row>
    <row r="846" spans="3:6" x14ac:dyDescent="0.25">
      <c r="C846" s="30">
        <f>COUNTIF(PlanAktarılacakSayfa!C:C,B846)</f>
        <v>0</v>
      </c>
      <c r="F846" s="33">
        <f>COUNTIF(PlanAktarılacakSayfa!C:C,E846)</f>
        <v>0</v>
      </c>
    </row>
    <row r="847" spans="3:6" x14ac:dyDescent="0.25">
      <c r="C847" s="30">
        <f>COUNTIF(PlanAktarılacakSayfa!C:C,B847)</f>
        <v>0</v>
      </c>
      <c r="F847" s="33">
        <f>COUNTIF(PlanAktarılacakSayfa!C:C,E847)</f>
        <v>0</v>
      </c>
    </row>
    <row r="848" spans="3:6" x14ac:dyDescent="0.25">
      <c r="C848" s="30">
        <f>COUNTIF(PlanAktarılacakSayfa!C:C,B848)</f>
        <v>0</v>
      </c>
      <c r="F848" s="33">
        <f>COUNTIF(PlanAktarılacakSayfa!C:C,E848)</f>
        <v>0</v>
      </c>
    </row>
    <row r="849" spans="3:6" x14ac:dyDescent="0.25">
      <c r="C849" s="30">
        <f>COUNTIF(PlanAktarılacakSayfa!C:C,B849)</f>
        <v>0</v>
      </c>
      <c r="F849" s="33">
        <f>COUNTIF(PlanAktarılacakSayfa!C:C,E849)</f>
        <v>0</v>
      </c>
    </row>
    <row r="850" spans="3:6" x14ac:dyDescent="0.25">
      <c r="C850" s="30">
        <f>COUNTIF(PlanAktarılacakSayfa!C:C,B850)</f>
        <v>0</v>
      </c>
      <c r="F850" s="33">
        <f>COUNTIF(PlanAktarılacakSayfa!C:C,E850)</f>
        <v>0</v>
      </c>
    </row>
    <row r="851" spans="3:6" x14ac:dyDescent="0.25">
      <c r="C851" s="30">
        <f>COUNTIF(PlanAktarılacakSayfa!C:C,B851)</f>
        <v>0</v>
      </c>
      <c r="F851" s="33">
        <f>COUNTIF(PlanAktarılacakSayfa!C:C,E851)</f>
        <v>0</v>
      </c>
    </row>
    <row r="852" spans="3:6" x14ac:dyDescent="0.25">
      <c r="C852" s="30">
        <f>COUNTIF(PlanAktarılacakSayfa!C:C,B852)</f>
        <v>0</v>
      </c>
      <c r="F852" s="33">
        <f>COUNTIF(PlanAktarılacakSayfa!C:C,E852)</f>
        <v>0</v>
      </c>
    </row>
    <row r="853" spans="3:6" x14ac:dyDescent="0.25">
      <c r="C853" s="30">
        <f>COUNTIF(PlanAktarılacakSayfa!C:C,B853)</f>
        <v>0</v>
      </c>
      <c r="F853" s="33">
        <f>COUNTIF(PlanAktarılacakSayfa!C:C,E853)</f>
        <v>0</v>
      </c>
    </row>
    <row r="854" spans="3:6" x14ac:dyDescent="0.25">
      <c r="C854" s="30">
        <f>COUNTIF(PlanAktarılacakSayfa!C:C,B854)</f>
        <v>0</v>
      </c>
      <c r="F854" s="33">
        <f>COUNTIF(PlanAktarılacakSayfa!C:C,E854)</f>
        <v>0</v>
      </c>
    </row>
    <row r="855" spans="3:6" x14ac:dyDescent="0.25">
      <c r="C855" s="30">
        <f>COUNTIF(PlanAktarılacakSayfa!C:C,B855)</f>
        <v>0</v>
      </c>
      <c r="F855" s="33">
        <f>COUNTIF(PlanAktarılacakSayfa!C:C,E855)</f>
        <v>0</v>
      </c>
    </row>
    <row r="856" spans="3:6" x14ac:dyDescent="0.25">
      <c r="C856" s="30">
        <f>COUNTIF(PlanAktarılacakSayfa!C:C,B856)</f>
        <v>0</v>
      </c>
      <c r="F856" s="33">
        <f>COUNTIF(PlanAktarılacakSayfa!C:C,E856)</f>
        <v>0</v>
      </c>
    </row>
    <row r="857" spans="3:6" x14ac:dyDescent="0.25">
      <c r="C857" s="30">
        <f>COUNTIF(PlanAktarılacakSayfa!C:C,B857)</f>
        <v>0</v>
      </c>
      <c r="F857" s="33">
        <f>COUNTIF(PlanAktarılacakSayfa!C:C,E857)</f>
        <v>0</v>
      </c>
    </row>
    <row r="858" spans="3:6" x14ac:dyDescent="0.25">
      <c r="C858" s="30">
        <f>COUNTIF(PlanAktarılacakSayfa!C:C,B858)</f>
        <v>0</v>
      </c>
      <c r="F858" s="33">
        <f>COUNTIF(PlanAktarılacakSayfa!C:C,E858)</f>
        <v>0</v>
      </c>
    </row>
    <row r="859" spans="3:6" x14ac:dyDescent="0.25">
      <c r="C859" s="30">
        <f>COUNTIF(PlanAktarılacakSayfa!C:C,B859)</f>
        <v>0</v>
      </c>
      <c r="F859" s="33">
        <f>COUNTIF(PlanAktarılacakSayfa!C:C,E859)</f>
        <v>0</v>
      </c>
    </row>
    <row r="860" spans="3:6" x14ac:dyDescent="0.25">
      <c r="C860" s="30">
        <f>COUNTIF(PlanAktarılacakSayfa!C:C,B860)</f>
        <v>0</v>
      </c>
      <c r="F860" s="33">
        <f>COUNTIF(PlanAktarılacakSayfa!C:C,E860)</f>
        <v>0</v>
      </c>
    </row>
    <row r="861" spans="3:6" x14ac:dyDescent="0.25">
      <c r="C861" s="30">
        <f>COUNTIF(PlanAktarılacakSayfa!C:C,B861)</f>
        <v>0</v>
      </c>
      <c r="F861" s="33">
        <f>COUNTIF(PlanAktarılacakSayfa!C:C,E861)</f>
        <v>0</v>
      </c>
    </row>
    <row r="862" spans="3:6" x14ac:dyDescent="0.25">
      <c r="C862" s="30">
        <f>COUNTIF(PlanAktarılacakSayfa!C:C,B862)</f>
        <v>0</v>
      </c>
      <c r="F862" s="33">
        <f>COUNTIF(PlanAktarılacakSayfa!C:C,E862)</f>
        <v>0</v>
      </c>
    </row>
    <row r="863" spans="3:6" x14ac:dyDescent="0.25">
      <c r="C863" s="30">
        <f>COUNTIF(PlanAktarılacakSayfa!C:C,B863)</f>
        <v>0</v>
      </c>
      <c r="F863" s="33">
        <f>COUNTIF(PlanAktarılacakSayfa!C:C,E863)</f>
        <v>0</v>
      </c>
    </row>
    <row r="864" spans="3:6" x14ac:dyDescent="0.25">
      <c r="C864" s="30">
        <f>COUNTIF(PlanAktarılacakSayfa!C:C,B864)</f>
        <v>0</v>
      </c>
      <c r="F864" s="33">
        <f>COUNTIF(PlanAktarılacakSayfa!C:C,E864)</f>
        <v>0</v>
      </c>
    </row>
    <row r="865" spans="3:6" x14ac:dyDescent="0.25">
      <c r="C865" s="30">
        <f>COUNTIF(PlanAktarılacakSayfa!C:C,B865)</f>
        <v>0</v>
      </c>
      <c r="F865" s="33">
        <f>COUNTIF(PlanAktarılacakSayfa!C:C,E865)</f>
        <v>0</v>
      </c>
    </row>
    <row r="866" spans="3:6" x14ac:dyDescent="0.25">
      <c r="C866" s="30">
        <f>COUNTIF(PlanAktarılacakSayfa!C:C,B866)</f>
        <v>0</v>
      </c>
      <c r="F866" s="33">
        <f>COUNTIF(PlanAktarılacakSayfa!C:C,E866)</f>
        <v>0</v>
      </c>
    </row>
    <row r="867" spans="3:6" x14ac:dyDescent="0.25">
      <c r="C867" s="30">
        <f>COUNTIF(PlanAktarılacakSayfa!C:C,B867)</f>
        <v>0</v>
      </c>
      <c r="F867" s="33">
        <f>COUNTIF(PlanAktarılacakSayfa!C:C,E867)</f>
        <v>0</v>
      </c>
    </row>
    <row r="868" spans="3:6" x14ac:dyDescent="0.25">
      <c r="C868" s="30">
        <f>COUNTIF(PlanAktarılacakSayfa!C:C,B868)</f>
        <v>0</v>
      </c>
      <c r="F868" s="33">
        <f>COUNTIF(PlanAktarılacakSayfa!C:C,E868)</f>
        <v>0</v>
      </c>
    </row>
    <row r="869" spans="3:6" x14ac:dyDescent="0.25">
      <c r="C869" s="30">
        <f>COUNTIF(PlanAktarılacakSayfa!C:C,B869)</f>
        <v>0</v>
      </c>
      <c r="F869" s="33">
        <f>COUNTIF(PlanAktarılacakSayfa!C:C,E869)</f>
        <v>0</v>
      </c>
    </row>
    <row r="870" spans="3:6" x14ac:dyDescent="0.25">
      <c r="C870" s="30">
        <f>COUNTIF(PlanAktarılacakSayfa!C:C,B870)</f>
        <v>0</v>
      </c>
      <c r="F870" s="33">
        <f>COUNTIF(PlanAktarılacakSayfa!C:C,E870)</f>
        <v>0</v>
      </c>
    </row>
    <row r="871" spans="3:6" x14ac:dyDescent="0.25">
      <c r="C871" s="30">
        <f>COUNTIF(PlanAktarılacakSayfa!C:C,B871)</f>
        <v>0</v>
      </c>
      <c r="F871" s="33">
        <f>COUNTIF(PlanAktarılacakSayfa!C:C,E871)</f>
        <v>0</v>
      </c>
    </row>
    <row r="872" spans="3:6" x14ac:dyDescent="0.25">
      <c r="C872" s="30">
        <f>COUNTIF(PlanAktarılacakSayfa!C:C,B872)</f>
        <v>0</v>
      </c>
      <c r="F872" s="33">
        <f>COUNTIF(PlanAktarılacakSayfa!C:C,E872)</f>
        <v>0</v>
      </c>
    </row>
    <row r="873" spans="3:6" x14ac:dyDescent="0.25">
      <c r="C873" s="30">
        <f>COUNTIF(PlanAktarılacakSayfa!C:C,B873)</f>
        <v>0</v>
      </c>
      <c r="F873" s="33">
        <f>COUNTIF(PlanAktarılacakSayfa!C:C,E873)</f>
        <v>0</v>
      </c>
    </row>
    <row r="874" spans="3:6" x14ac:dyDescent="0.25">
      <c r="C874" s="30">
        <f>COUNTIF(PlanAktarılacakSayfa!C:C,B874)</f>
        <v>0</v>
      </c>
      <c r="F874" s="33">
        <f>COUNTIF(PlanAktarılacakSayfa!C:C,E874)</f>
        <v>0</v>
      </c>
    </row>
    <row r="875" spans="3:6" x14ac:dyDescent="0.25">
      <c r="C875" s="30">
        <f>COUNTIF(PlanAktarılacakSayfa!C:C,B875)</f>
        <v>0</v>
      </c>
      <c r="F875" s="33">
        <f>COUNTIF(PlanAktarılacakSayfa!C:C,E875)</f>
        <v>0</v>
      </c>
    </row>
    <row r="876" spans="3:6" x14ac:dyDescent="0.25">
      <c r="C876" s="30">
        <f>COUNTIF(PlanAktarılacakSayfa!C:C,B876)</f>
        <v>0</v>
      </c>
      <c r="F876" s="33">
        <f>COUNTIF(PlanAktarılacakSayfa!C:C,E876)</f>
        <v>0</v>
      </c>
    </row>
    <row r="877" spans="3:6" x14ac:dyDescent="0.25">
      <c r="C877" s="30">
        <f>COUNTIF(PlanAktarılacakSayfa!C:C,B877)</f>
        <v>0</v>
      </c>
      <c r="F877" s="33">
        <f>COUNTIF(PlanAktarılacakSayfa!C:C,E877)</f>
        <v>0</v>
      </c>
    </row>
    <row r="878" spans="3:6" x14ac:dyDescent="0.25">
      <c r="C878" s="30">
        <f>COUNTIF(PlanAktarılacakSayfa!C:C,B878)</f>
        <v>0</v>
      </c>
      <c r="F878" s="33">
        <f>COUNTIF(PlanAktarılacakSayfa!C:C,E878)</f>
        <v>0</v>
      </c>
    </row>
    <row r="879" spans="3:6" x14ac:dyDescent="0.25">
      <c r="C879" s="30">
        <f>COUNTIF(PlanAktarılacakSayfa!C:C,B879)</f>
        <v>0</v>
      </c>
      <c r="F879" s="33">
        <f>COUNTIF(PlanAktarılacakSayfa!C:C,E879)</f>
        <v>0</v>
      </c>
    </row>
    <row r="880" spans="3:6" x14ac:dyDescent="0.25">
      <c r="C880" s="30">
        <f>COUNTIF(PlanAktarılacakSayfa!C:C,B880)</f>
        <v>0</v>
      </c>
      <c r="F880" s="33">
        <f>COUNTIF(PlanAktarılacakSayfa!C:C,E880)</f>
        <v>0</v>
      </c>
    </row>
    <row r="881" spans="3:6" x14ac:dyDescent="0.25">
      <c r="C881" s="30">
        <f>COUNTIF(PlanAktarılacakSayfa!C:C,B881)</f>
        <v>0</v>
      </c>
      <c r="F881" s="33">
        <f>COUNTIF(PlanAktarılacakSayfa!C:C,E881)</f>
        <v>0</v>
      </c>
    </row>
    <row r="882" spans="3:6" x14ac:dyDescent="0.25">
      <c r="C882" s="30">
        <f>COUNTIF(PlanAktarılacakSayfa!C:C,B882)</f>
        <v>0</v>
      </c>
      <c r="F882" s="33">
        <f>COUNTIF(PlanAktarılacakSayfa!C:C,E882)</f>
        <v>0</v>
      </c>
    </row>
    <row r="883" spans="3:6" x14ac:dyDescent="0.25">
      <c r="C883" s="30">
        <f>COUNTIF(PlanAktarılacakSayfa!C:C,B883)</f>
        <v>0</v>
      </c>
      <c r="F883" s="33">
        <f>COUNTIF(PlanAktarılacakSayfa!C:C,E883)</f>
        <v>0</v>
      </c>
    </row>
    <row r="884" spans="3:6" x14ac:dyDescent="0.25">
      <c r="C884" s="30">
        <f>COUNTIF(PlanAktarılacakSayfa!C:C,B884)</f>
        <v>0</v>
      </c>
      <c r="F884" s="33">
        <f>COUNTIF(PlanAktarılacakSayfa!C:C,E884)</f>
        <v>0</v>
      </c>
    </row>
    <row r="885" spans="3:6" x14ac:dyDescent="0.25">
      <c r="C885" s="30">
        <f>COUNTIF(PlanAktarılacakSayfa!C:C,B885)</f>
        <v>0</v>
      </c>
      <c r="F885" s="33">
        <f>COUNTIF(PlanAktarılacakSayfa!C:C,E885)</f>
        <v>0</v>
      </c>
    </row>
    <row r="886" spans="3:6" x14ac:dyDescent="0.25">
      <c r="C886" s="30">
        <f>COUNTIF(PlanAktarılacakSayfa!C:C,B886)</f>
        <v>0</v>
      </c>
      <c r="F886" s="33">
        <f>COUNTIF(PlanAktarılacakSayfa!C:C,E886)</f>
        <v>0</v>
      </c>
    </row>
    <row r="887" spans="3:6" x14ac:dyDescent="0.25">
      <c r="C887" s="30">
        <f>COUNTIF(PlanAktarılacakSayfa!C:C,B887)</f>
        <v>0</v>
      </c>
      <c r="F887" s="33">
        <f>COUNTIF(PlanAktarılacakSayfa!C:C,E887)</f>
        <v>0</v>
      </c>
    </row>
    <row r="888" spans="3:6" x14ac:dyDescent="0.25">
      <c r="C888" s="30">
        <f>COUNTIF(PlanAktarılacakSayfa!C:C,B888)</f>
        <v>0</v>
      </c>
      <c r="F888" s="33">
        <f>COUNTIF(PlanAktarılacakSayfa!C:C,E888)</f>
        <v>0</v>
      </c>
    </row>
    <row r="889" spans="3:6" x14ac:dyDescent="0.25">
      <c r="C889" s="30">
        <f>COUNTIF(PlanAktarılacakSayfa!C:C,B889)</f>
        <v>0</v>
      </c>
      <c r="F889" s="33">
        <f>COUNTIF(PlanAktarılacakSayfa!C:C,E889)</f>
        <v>0</v>
      </c>
    </row>
    <row r="890" spans="3:6" x14ac:dyDescent="0.25">
      <c r="C890" s="30">
        <f>COUNTIF(PlanAktarılacakSayfa!C:C,B890)</f>
        <v>0</v>
      </c>
      <c r="F890" s="33">
        <f>COUNTIF(PlanAktarılacakSayfa!C:C,E890)</f>
        <v>0</v>
      </c>
    </row>
    <row r="891" spans="3:6" x14ac:dyDescent="0.25">
      <c r="C891" s="30">
        <f>COUNTIF(PlanAktarılacakSayfa!C:C,B891)</f>
        <v>0</v>
      </c>
      <c r="F891" s="33">
        <f>COUNTIF(PlanAktarılacakSayfa!C:C,E891)</f>
        <v>0</v>
      </c>
    </row>
    <row r="892" spans="3:6" x14ac:dyDescent="0.25">
      <c r="C892" s="30">
        <f>COUNTIF(PlanAktarılacakSayfa!C:C,B892)</f>
        <v>0</v>
      </c>
      <c r="F892" s="33">
        <f>COUNTIF(PlanAktarılacakSayfa!C:C,E892)</f>
        <v>0</v>
      </c>
    </row>
    <row r="893" spans="3:6" x14ac:dyDescent="0.25">
      <c r="C893" s="30">
        <f>COUNTIF(PlanAktarılacakSayfa!C:C,B893)</f>
        <v>0</v>
      </c>
      <c r="F893" s="33">
        <f>COUNTIF(PlanAktarılacakSayfa!C:C,E893)</f>
        <v>0</v>
      </c>
    </row>
    <row r="894" spans="3:6" x14ac:dyDescent="0.25">
      <c r="C894" s="30">
        <f>COUNTIF(PlanAktarılacakSayfa!C:C,B894)</f>
        <v>0</v>
      </c>
      <c r="F894" s="33">
        <f>COUNTIF(PlanAktarılacakSayfa!C:C,E894)</f>
        <v>0</v>
      </c>
    </row>
    <row r="895" spans="3:6" x14ac:dyDescent="0.25">
      <c r="C895" s="30">
        <f>COUNTIF(PlanAktarılacakSayfa!C:C,B895)</f>
        <v>0</v>
      </c>
      <c r="F895" s="33">
        <f>COUNTIF(PlanAktarılacakSayfa!C:C,E895)</f>
        <v>0</v>
      </c>
    </row>
    <row r="896" spans="3:6" x14ac:dyDescent="0.25">
      <c r="C896" s="30">
        <f>COUNTIF(PlanAktarılacakSayfa!C:C,B896)</f>
        <v>0</v>
      </c>
      <c r="F896" s="33">
        <f>COUNTIF(PlanAktarılacakSayfa!C:C,E896)</f>
        <v>0</v>
      </c>
    </row>
    <row r="897" spans="3:6" x14ac:dyDescent="0.25">
      <c r="C897" s="30">
        <f>COUNTIF(PlanAktarılacakSayfa!C:C,B897)</f>
        <v>0</v>
      </c>
      <c r="F897" s="33">
        <f>COUNTIF(PlanAktarılacakSayfa!C:C,E897)</f>
        <v>0</v>
      </c>
    </row>
    <row r="898" spans="3:6" x14ac:dyDescent="0.25">
      <c r="C898" s="30">
        <f>COUNTIF(PlanAktarılacakSayfa!C:C,B898)</f>
        <v>0</v>
      </c>
      <c r="F898" s="33">
        <f>COUNTIF(PlanAktarılacakSayfa!C:C,E898)</f>
        <v>0</v>
      </c>
    </row>
    <row r="899" spans="3:6" x14ac:dyDescent="0.25">
      <c r="C899" s="30">
        <f>COUNTIF(PlanAktarılacakSayfa!C:C,B899)</f>
        <v>0</v>
      </c>
      <c r="F899" s="33">
        <f>COUNTIF(PlanAktarılacakSayfa!C:C,E899)</f>
        <v>0</v>
      </c>
    </row>
    <row r="900" spans="3:6" x14ac:dyDescent="0.25">
      <c r="C900" s="30">
        <f>COUNTIF(PlanAktarılacakSayfa!C:C,B900)</f>
        <v>0</v>
      </c>
      <c r="F900" s="33">
        <f>COUNTIF(PlanAktarılacakSayfa!C:C,E900)</f>
        <v>0</v>
      </c>
    </row>
    <row r="901" spans="3:6" x14ac:dyDescent="0.25">
      <c r="C901" s="30">
        <f>COUNTIF(PlanAktarılacakSayfa!C:C,B901)</f>
        <v>0</v>
      </c>
      <c r="F901" s="33">
        <f>COUNTIF(PlanAktarılacakSayfa!C:C,E901)</f>
        <v>0</v>
      </c>
    </row>
    <row r="902" spans="3:6" x14ac:dyDescent="0.25">
      <c r="C902" s="30">
        <f>COUNTIF(PlanAktarılacakSayfa!C:C,B902)</f>
        <v>0</v>
      </c>
      <c r="F902" s="33">
        <f>COUNTIF(PlanAktarılacakSayfa!C:C,E902)</f>
        <v>0</v>
      </c>
    </row>
    <row r="903" spans="3:6" x14ac:dyDescent="0.25">
      <c r="C903" s="30">
        <f>COUNTIF(PlanAktarılacakSayfa!C:C,B903)</f>
        <v>0</v>
      </c>
      <c r="F903" s="33">
        <f>COUNTIF(PlanAktarılacakSayfa!C:C,E903)</f>
        <v>0</v>
      </c>
    </row>
    <row r="904" spans="3:6" x14ac:dyDescent="0.25">
      <c r="C904" s="30">
        <f>COUNTIF(PlanAktarılacakSayfa!C:C,B904)</f>
        <v>0</v>
      </c>
      <c r="F904" s="33">
        <f>COUNTIF(PlanAktarılacakSayfa!C:C,E904)</f>
        <v>0</v>
      </c>
    </row>
    <row r="905" spans="3:6" x14ac:dyDescent="0.25">
      <c r="C905" s="30">
        <f>COUNTIF(PlanAktarılacakSayfa!C:C,B905)</f>
        <v>0</v>
      </c>
      <c r="F905" s="33">
        <f>COUNTIF(PlanAktarılacakSayfa!C:C,E905)</f>
        <v>0</v>
      </c>
    </row>
    <row r="906" spans="3:6" x14ac:dyDescent="0.25">
      <c r="C906" s="30">
        <f>COUNTIF(PlanAktarılacakSayfa!C:C,B906)</f>
        <v>0</v>
      </c>
      <c r="F906" s="33">
        <f>COUNTIF(PlanAktarılacakSayfa!C:C,E906)</f>
        <v>0</v>
      </c>
    </row>
    <row r="907" spans="3:6" x14ac:dyDescent="0.25">
      <c r="C907" s="30">
        <f>COUNTIF(PlanAktarılacakSayfa!C:C,B907)</f>
        <v>0</v>
      </c>
      <c r="F907" s="33">
        <f>COUNTIF(PlanAktarılacakSayfa!C:C,E907)</f>
        <v>0</v>
      </c>
    </row>
    <row r="908" spans="3:6" x14ac:dyDescent="0.25">
      <c r="C908" s="30">
        <f>COUNTIF(PlanAktarılacakSayfa!C:C,B908)</f>
        <v>0</v>
      </c>
      <c r="F908" s="33">
        <f>COUNTIF(PlanAktarılacakSayfa!C:C,E908)</f>
        <v>0</v>
      </c>
    </row>
    <row r="909" spans="3:6" x14ac:dyDescent="0.25">
      <c r="C909" s="30">
        <f>COUNTIF(PlanAktarılacakSayfa!C:C,B909)</f>
        <v>0</v>
      </c>
      <c r="F909" s="33">
        <f>COUNTIF(PlanAktarılacakSayfa!C:C,E909)</f>
        <v>0</v>
      </c>
    </row>
    <row r="910" spans="3:6" x14ac:dyDescent="0.25">
      <c r="C910" s="30">
        <f>COUNTIF(PlanAktarılacakSayfa!C:C,B910)</f>
        <v>0</v>
      </c>
      <c r="F910" s="33">
        <f>COUNTIF(PlanAktarılacakSayfa!C:C,E910)</f>
        <v>0</v>
      </c>
    </row>
    <row r="911" spans="3:6" x14ac:dyDescent="0.25">
      <c r="C911" s="30">
        <f>COUNTIF(PlanAktarılacakSayfa!C:C,B911)</f>
        <v>0</v>
      </c>
      <c r="F911" s="33">
        <f>COUNTIF(PlanAktarılacakSayfa!C:C,E911)</f>
        <v>0</v>
      </c>
    </row>
    <row r="912" spans="3:6" x14ac:dyDescent="0.25">
      <c r="C912" s="30">
        <f>COUNTIF(PlanAktarılacakSayfa!C:C,B912)</f>
        <v>0</v>
      </c>
      <c r="F912" s="33">
        <f>COUNTIF(PlanAktarılacakSayfa!C:C,E912)</f>
        <v>0</v>
      </c>
    </row>
    <row r="913" spans="3:6" x14ac:dyDescent="0.25">
      <c r="C913" s="30">
        <f>COUNTIF(PlanAktarılacakSayfa!C:C,B913)</f>
        <v>0</v>
      </c>
      <c r="F913" s="33">
        <f>COUNTIF(PlanAktarılacakSayfa!C:C,E913)</f>
        <v>0</v>
      </c>
    </row>
    <row r="914" spans="3:6" x14ac:dyDescent="0.25">
      <c r="C914" s="30">
        <f>COUNTIF(PlanAktarılacakSayfa!C:C,B914)</f>
        <v>0</v>
      </c>
      <c r="F914" s="33">
        <f>COUNTIF(PlanAktarılacakSayfa!C:C,E914)</f>
        <v>0</v>
      </c>
    </row>
    <row r="915" spans="3:6" x14ac:dyDescent="0.25">
      <c r="C915" s="30">
        <f>COUNTIF(PlanAktarılacakSayfa!C:C,B915)</f>
        <v>0</v>
      </c>
      <c r="F915" s="33">
        <f>COUNTIF(PlanAktarılacakSayfa!C:C,E915)</f>
        <v>0</v>
      </c>
    </row>
    <row r="916" spans="3:6" x14ac:dyDescent="0.25">
      <c r="C916" s="30">
        <f>COUNTIF(PlanAktarılacakSayfa!C:C,B916)</f>
        <v>0</v>
      </c>
      <c r="F916" s="33">
        <f>COUNTIF(PlanAktarılacakSayfa!C:C,E916)</f>
        <v>0</v>
      </c>
    </row>
    <row r="917" spans="3:6" x14ac:dyDescent="0.25">
      <c r="C917" s="30">
        <f>COUNTIF(PlanAktarılacakSayfa!C:C,B917)</f>
        <v>0</v>
      </c>
      <c r="F917" s="33">
        <f>COUNTIF(PlanAktarılacakSayfa!C:C,E917)</f>
        <v>0</v>
      </c>
    </row>
    <row r="918" spans="3:6" x14ac:dyDescent="0.25">
      <c r="C918" s="30">
        <f>COUNTIF(PlanAktarılacakSayfa!C:C,B918)</f>
        <v>0</v>
      </c>
      <c r="F918" s="33">
        <f>COUNTIF(PlanAktarılacakSayfa!C:C,E918)</f>
        <v>0</v>
      </c>
    </row>
    <row r="919" spans="3:6" x14ac:dyDescent="0.25">
      <c r="C919" s="30">
        <f>COUNTIF(PlanAktarılacakSayfa!C:C,B919)</f>
        <v>0</v>
      </c>
      <c r="F919" s="33">
        <f>COUNTIF(PlanAktarılacakSayfa!C:C,E919)</f>
        <v>0</v>
      </c>
    </row>
    <row r="920" spans="3:6" x14ac:dyDescent="0.25">
      <c r="C920" s="30">
        <f>COUNTIF(PlanAktarılacakSayfa!C:C,B920)</f>
        <v>0</v>
      </c>
      <c r="F920" s="33">
        <f>COUNTIF(PlanAktarılacakSayfa!C:C,E920)</f>
        <v>0</v>
      </c>
    </row>
    <row r="921" spans="3:6" x14ac:dyDescent="0.25">
      <c r="C921" s="30">
        <f>COUNTIF(PlanAktarılacakSayfa!C:C,B921)</f>
        <v>0</v>
      </c>
      <c r="F921" s="33">
        <f>COUNTIF(PlanAktarılacakSayfa!C:C,E921)</f>
        <v>0</v>
      </c>
    </row>
    <row r="922" spans="3:6" x14ac:dyDescent="0.25">
      <c r="C922" s="30">
        <f>COUNTIF(PlanAktarılacakSayfa!C:C,B922)</f>
        <v>0</v>
      </c>
      <c r="F922" s="33">
        <f>COUNTIF(PlanAktarılacakSayfa!C:C,E922)</f>
        <v>0</v>
      </c>
    </row>
    <row r="923" spans="3:6" x14ac:dyDescent="0.25">
      <c r="C923" s="30">
        <f>COUNTIF(PlanAktarılacakSayfa!C:C,B923)</f>
        <v>0</v>
      </c>
      <c r="F923" s="33">
        <f>COUNTIF(PlanAktarılacakSayfa!C:C,E923)</f>
        <v>0</v>
      </c>
    </row>
    <row r="924" spans="3:6" x14ac:dyDescent="0.25">
      <c r="C924" s="30">
        <f>COUNTIF(PlanAktarılacakSayfa!C:C,B924)</f>
        <v>0</v>
      </c>
      <c r="F924" s="33">
        <f>COUNTIF(PlanAktarılacakSayfa!C:C,E924)</f>
        <v>0</v>
      </c>
    </row>
    <row r="925" spans="3:6" x14ac:dyDescent="0.25">
      <c r="C925" s="30">
        <f>COUNTIF(PlanAktarılacakSayfa!C:C,B925)</f>
        <v>0</v>
      </c>
      <c r="F925" s="33">
        <f>COUNTIF(PlanAktarılacakSayfa!C:C,E925)</f>
        <v>0</v>
      </c>
    </row>
    <row r="926" spans="3:6" x14ac:dyDescent="0.25">
      <c r="C926" s="30">
        <f>COUNTIF(PlanAktarılacakSayfa!C:C,B926)</f>
        <v>0</v>
      </c>
      <c r="F926" s="33">
        <f>COUNTIF(PlanAktarılacakSayfa!C:C,E926)</f>
        <v>0</v>
      </c>
    </row>
    <row r="927" spans="3:6" x14ac:dyDescent="0.25">
      <c r="C927" s="30">
        <f>COUNTIF(PlanAktarılacakSayfa!C:C,B927)</f>
        <v>0</v>
      </c>
      <c r="F927" s="33">
        <f>COUNTIF(PlanAktarılacakSayfa!C:C,E927)</f>
        <v>0</v>
      </c>
    </row>
    <row r="928" spans="3:6" x14ac:dyDescent="0.25">
      <c r="C928" s="30">
        <f>COUNTIF(PlanAktarılacakSayfa!C:C,B928)</f>
        <v>0</v>
      </c>
      <c r="F928" s="33">
        <f>COUNTIF(PlanAktarılacakSayfa!C:C,E928)</f>
        <v>0</v>
      </c>
    </row>
    <row r="929" spans="3:6" x14ac:dyDescent="0.25">
      <c r="C929" s="30">
        <f>COUNTIF(PlanAktarılacakSayfa!C:C,B929)</f>
        <v>0</v>
      </c>
      <c r="F929" s="33">
        <f>COUNTIF(PlanAktarılacakSayfa!C:C,E929)</f>
        <v>0</v>
      </c>
    </row>
    <row r="930" spans="3:6" x14ac:dyDescent="0.25">
      <c r="C930" s="30">
        <f>COUNTIF(PlanAktarılacakSayfa!C:C,B930)</f>
        <v>0</v>
      </c>
      <c r="F930" s="33">
        <f>COUNTIF(PlanAktarılacakSayfa!C:C,E930)</f>
        <v>0</v>
      </c>
    </row>
    <row r="931" spans="3:6" x14ac:dyDescent="0.25">
      <c r="C931" s="30">
        <f>COUNTIF(PlanAktarılacakSayfa!C:C,B931)</f>
        <v>0</v>
      </c>
      <c r="F931" s="33">
        <f>COUNTIF(PlanAktarılacakSayfa!C:C,E931)</f>
        <v>0</v>
      </c>
    </row>
    <row r="932" spans="3:6" x14ac:dyDescent="0.25">
      <c r="C932" s="30">
        <f>COUNTIF(PlanAktarılacakSayfa!C:C,B932)</f>
        <v>0</v>
      </c>
      <c r="F932" s="33">
        <f>COUNTIF(PlanAktarılacakSayfa!C:C,E932)</f>
        <v>0</v>
      </c>
    </row>
    <row r="933" spans="3:6" x14ac:dyDescent="0.25">
      <c r="C933" s="30">
        <f>COUNTIF(PlanAktarılacakSayfa!C:C,B933)</f>
        <v>0</v>
      </c>
      <c r="F933" s="33">
        <f>COUNTIF(PlanAktarılacakSayfa!C:C,E933)</f>
        <v>0</v>
      </c>
    </row>
    <row r="934" spans="3:6" x14ac:dyDescent="0.25">
      <c r="C934" s="30">
        <f>COUNTIF(PlanAktarılacakSayfa!C:C,B934)</f>
        <v>0</v>
      </c>
      <c r="F934" s="33">
        <f>COUNTIF(PlanAktarılacakSayfa!C:C,E934)</f>
        <v>0</v>
      </c>
    </row>
    <row r="935" spans="3:6" x14ac:dyDescent="0.25">
      <c r="C935" s="30">
        <f>COUNTIF(PlanAktarılacakSayfa!C:C,B935)</f>
        <v>0</v>
      </c>
      <c r="F935" s="33">
        <f>COUNTIF(PlanAktarılacakSayfa!C:C,E935)</f>
        <v>0</v>
      </c>
    </row>
    <row r="936" spans="3:6" x14ac:dyDescent="0.25">
      <c r="C936" s="30">
        <f>COUNTIF(PlanAktarılacakSayfa!C:C,B936)</f>
        <v>0</v>
      </c>
      <c r="F936" s="33">
        <f>COUNTIF(PlanAktarılacakSayfa!C:C,E936)</f>
        <v>0</v>
      </c>
    </row>
    <row r="937" spans="3:6" x14ac:dyDescent="0.25">
      <c r="C937" s="30">
        <f>COUNTIF(PlanAktarılacakSayfa!C:C,B937)</f>
        <v>0</v>
      </c>
      <c r="F937" s="33">
        <f>COUNTIF(PlanAktarılacakSayfa!C:C,E937)</f>
        <v>0</v>
      </c>
    </row>
    <row r="938" spans="3:6" x14ac:dyDescent="0.25">
      <c r="C938" s="30">
        <f>COUNTIF(PlanAktarılacakSayfa!C:C,B938)</f>
        <v>0</v>
      </c>
      <c r="F938" s="33">
        <f>COUNTIF(PlanAktarılacakSayfa!C:C,E938)</f>
        <v>0</v>
      </c>
    </row>
    <row r="939" spans="3:6" x14ac:dyDescent="0.25">
      <c r="C939" s="30">
        <f>COUNTIF(PlanAktarılacakSayfa!C:C,B939)</f>
        <v>0</v>
      </c>
      <c r="F939" s="33">
        <f>COUNTIF(PlanAktarılacakSayfa!C:C,E939)</f>
        <v>0</v>
      </c>
    </row>
    <row r="940" spans="3:6" x14ac:dyDescent="0.25">
      <c r="C940" s="30">
        <f>COUNTIF(PlanAktarılacakSayfa!C:C,B940)</f>
        <v>0</v>
      </c>
      <c r="F940" s="33">
        <f>COUNTIF(PlanAktarılacakSayfa!C:C,E940)</f>
        <v>0</v>
      </c>
    </row>
    <row r="941" spans="3:6" x14ac:dyDescent="0.25">
      <c r="C941" s="30">
        <f>COUNTIF(PlanAktarılacakSayfa!C:C,B941)</f>
        <v>0</v>
      </c>
      <c r="F941" s="33">
        <f>COUNTIF(PlanAktarılacakSayfa!C:C,E941)</f>
        <v>0</v>
      </c>
    </row>
    <row r="942" spans="3:6" x14ac:dyDescent="0.25">
      <c r="C942" s="30">
        <f>COUNTIF(PlanAktarılacakSayfa!C:C,B942)</f>
        <v>0</v>
      </c>
      <c r="F942" s="33">
        <f>COUNTIF(PlanAktarılacakSayfa!C:C,E942)</f>
        <v>0</v>
      </c>
    </row>
    <row r="943" spans="3:6" x14ac:dyDescent="0.25">
      <c r="C943" s="30">
        <f>COUNTIF(PlanAktarılacakSayfa!C:C,B943)</f>
        <v>0</v>
      </c>
      <c r="F943" s="33">
        <f>COUNTIF(PlanAktarılacakSayfa!C:C,E943)</f>
        <v>0</v>
      </c>
    </row>
    <row r="944" spans="3:6" x14ac:dyDescent="0.25">
      <c r="C944" s="30">
        <f>COUNTIF(PlanAktarılacakSayfa!C:C,B944)</f>
        <v>0</v>
      </c>
      <c r="F944" s="33">
        <f>COUNTIF(PlanAktarılacakSayfa!C:C,E944)</f>
        <v>0</v>
      </c>
    </row>
    <row r="945" spans="3:6" x14ac:dyDescent="0.25">
      <c r="C945" s="30">
        <f>COUNTIF(PlanAktarılacakSayfa!C:C,B945)</f>
        <v>0</v>
      </c>
      <c r="F945" s="33">
        <f>COUNTIF(PlanAktarılacakSayfa!C:C,E945)</f>
        <v>0</v>
      </c>
    </row>
    <row r="946" spans="3:6" x14ac:dyDescent="0.25">
      <c r="C946" s="30">
        <f>COUNTIF(PlanAktarılacakSayfa!C:C,B946)</f>
        <v>0</v>
      </c>
      <c r="F946" s="33">
        <f>COUNTIF(PlanAktarılacakSayfa!C:C,E946)</f>
        <v>0</v>
      </c>
    </row>
    <row r="947" spans="3:6" x14ac:dyDescent="0.25">
      <c r="C947" s="30">
        <f>COUNTIF(PlanAktarılacakSayfa!C:C,B947)</f>
        <v>0</v>
      </c>
      <c r="F947" s="33">
        <f>COUNTIF(PlanAktarılacakSayfa!C:C,E947)</f>
        <v>0</v>
      </c>
    </row>
    <row r="948" spans="3:6" x14ac:dyDescent="0.25">
      <c r="C948" s="30">
        <f>COUNTIF(PlanAktarılacakSayfa!C:C,B948)</f>
        <v>0</v>
      </c>
      <c r="F948" s="33">
        <f>COUNTIF(PlanAktarılacakSayfa!C:C,E948)</f>
        <v>0</v>
      </c>
    </row>
    <row r="949" spans="3:6" x14ac:dyDescent="0.25">
      <c r="C949" s="30">
        <f>COUNTIF(PlanAktarılacakSayfa!C:C,B949)</f>
        <v>0</v>
      </c>
      <c r="F949" s="33">
        <f>COUNTIF(PlanAktarılacakSayfa!C:C,E949)</f>
        <v>0</v>
      </c>
    </row>
    <row r="950" spans="3:6" x14ac:dyDescent="0.25">
      <c r="C950" s="30">
        <f>COUNTIF(PlanAktarılacakSayfa!C:C,B950)</f>
        <v>0</v>
      </c>
      <c r="F950" s="33">
        <f>COUNTIF(PlanAktarılacakSayfa!C:C,E950)</f>
        <v>0</v>
      </c>
    </row>
    <row r="951" spans="3:6" x14ac:dyDescent="0.25">
      <c r="C951" s="30">
        <f>COUNTIF(PlanAktarılacakSayfa!C:C,B951)</f>
        <v>0</v>
      </c>
      <c r="F951" s="33">
        <f>COUNTIF(PlanAktarılacakSayfa!C:C,E951)</f>
        <v>0</v>
      </c>
    </row>
    <row r="952" spans="3:6" x14ac:dyDescent="0.25">
      <c r="C952" s="30">
        <f>COUNTIF(PlanAktarılacakSayfa!C:C,B952)</f>
        <v>0</v>
      </c>
      <c r="F952" s="33">
        <f>COUNTIF(PlanAktarılacakSayfa!C:C,E952)</f>
        <v>0</v>
      </c>
    </row>
    <row r="953" spans="3:6" x14ac:dyDescent="0.25">
      <c r="C953" s="30">
        <f>COUNTIF(PlanAktarılacakSayfa!C:C,B953)</f>
        <v>0</v>
      </c>
      <c r="F953" s="33">
        <f>COUNTIF(PlanAktarılacakSayfa!C:C,E953)</f>
        <v>0</v>
      </c>
    </row>
    <row r="954" spans="3:6" x14ac:dyDescent="0.25">
      <c r="C954" s="30">
        <f>COUNTIF(PlanAktarılacakSayfa!C:C,B954)</f>
        <v>0</v>
      </c>
      <c r="F954" s="33">
        <f>COUNTIF(PlanAktarılacakSayfa!C:C,E954)</f>
        <v>0</v>
      </c>
    </row>
    <row r="955" spans="3:6" x14ac:dyDescent="0.25">
      <c r="C955" s="30">
        <f>COUNTIF(PlanAktarılacakSayfa!C:C,B955)</f>
        <v>0</v>
      </c>
      <c r="F955" s="33">
        <f>COUNTIF(PlanAktarılacakSayfa!C:C,E955)</f>
        <v>0</v>
      </c>
    </row>
    <row r="956" spans="3:6" x14ac:dyDescent="0.25">
      <c r="C956" s="30">
        <f>COUNTIF(PlanAktarılacakSayfa!C:C,B956)</f>
        <v>0</v>
      </c>
      <c r="F956" s="33">
        <f>COUNTIF(PlanAktarılacakSayfa!C:C,E956)</f>
        <v>0</v>
      </c>
    </row>
    <row r="957" spans="3:6" x14ac:dyDescent="0.25">
      <c r="C957" s="30">
        <f>COUNTIF(PlanAktarılacakSayfa!C:C,B957)</f>
        <v>0</v>
      </c>
      <c r="F957" s="33">
        <f>COUNTIF(PlanAktarılacakSayfa!C:C,E957)</f>
        <v>0</v>
      </c>
    </row>
    <row r="958" spans="3:6" x14ac:dyDescent="0.25">
      <c r="C958" s="30">
        <f>COUNTIF(PlanAktarılacakSayfa!C:C,B958)</f>
        <v>0</v>
      </c>
      <c r="F958" s="33">
        <f>COUNTIF(PlanAktarılacakSayfa!C:C,E958)</f>
        <v>0</v>
      </c>
    </row>
    <row r="959" spans="3:6" x14ac:dyDescent="0.25">
      <c r="C959" s="30">
        <f>COUNTIF(PlanAktarılacakSayfa!C:C,B959)</f>
        <v>0</v>
      </c>
      <c r="F959" s="33">
        <f>COUNTIF(PlanAktarılacakSayfa!C:C,E959)</f>
        <v>0</v>
      </c>
    </row>
    <row r="960" spans="3:6" x14ac:dyDescent="0.25">
      <c r="C960" s="30">
        <f>COUNTIF(PlanAktarılacakSayfa!C:C,B960)</f>
        <v>0</v>
      </c>
      <c r="F960" s="33">
        <f>COUNTIF(PlanAktarılacakSayfa!C:C,E960)</f>
        <v>0</v>
      </c>
    </row>
    <row r="961" spans="3:6" x14ac:dyDescent="0.25">
      <c r="C961" s="30">
        <f>COUNTIF(PlanAktarılacakSayfa!C:C,B961)</f>
        <v>0</v>
      </c>
      <c r="F961" s="33">
        <f>COUNTIF(PlanAktarılacakSayfa!C:C,E961)</f>
        <v>0</v>
      </c>
    </row>
    <row r="962" spans="3:6" x14ac:dyDescent="0.25">
      <c r="C962" s="30">
        <f>COUNTIF(PlanAktarılacakSayfa!C:C,B962)</f>
        <v>0</v>
      </c>
      <c r="F962" s="33">
        <f>COUNTIF(PlanAktarılacakSayfa!C:C,E962)</f>
        <v>0</v>
      </c>
    </row>
    <row r="963" spans="3:6" x14ac:dyDescent="0.25">
      <c r="C963" s="30">
        <f>COUNTIF(PlanAktarılacakSayfa!C:C,B963)</f>
        <v>0</v>
      </c>
      <c r="F963" s="33">
        <f>COUNTIF(PlanAktarılacakSayfa!C:C,E963)</f>
        <v>0</v>
      </c>
    </row>
    <row r="964" spans="3:6" x14ac:dyDescent="0.25">
      <c r="C964" s="30">
        <f>COUNTIF(PlanAktarılacakSayfa!C:C,B964)</f>
        <v>0</v>
      </c>
      <c r="F964" s="33">
        <f>COUNTIF(PlanAktarılacakSayfa!C:C,E964)</f>
        <v>0</v>
      </c>
    </row>
    <row r="965" spans="3:6" x14ac:dyDescent="0.25">
      <c r="C965" s="30">
        <f>COUNTIF(PlanAktarılacakSayfa!C:C,B965)</f>
        <v>0</v>
      </c>
      <c r="F965" s="33">
        <f>COUNTIF(PlanAktarılacakSayfa!C:C,E965)</f>
        <v>0</v>
      </c>
    </row>
    <row r="966" spans="3:6" x14ac:dyDescent="0.25">
      <c r="C966" s="30">
        <f>COUNTIF(PlanAktarılacakSayfa!C:C,B966)</f>
        <v>0</v>
      </c>
      <c r="F966" s="33">
        <f>COUNTIF(PlanAktarılacakSayfa!C:C,E966)</f>
        <v>0</v>
      </c>
    </row>
    <row r="967" spans="3:6" x14ac:dyDescent="0.25">
      <c r="C967" s="30">
        <f>COUNTIF(PlanAktarılacakSayfa!C:C,B967)</f>
        <v>0</v>
      </c>
      <c r="F967" s="33">
        <f>COUNTIF(PlanAktarılacakSayfa!C:C,E967)</f>
        <v>0</v>
      </c>
    </row>
    <row r="968" spans="3:6" x14ac:dyDescent="0.25">
      <c r="C968" s="30">
        <f>COUNTIF(PlanAktarılacakSayfa!C:C,B968)</f>
        <v>0</v>
      </c>
      <c r="F968" s="33">
        <f>COUNTIF(PlanAktarılacakSayfa!C:C,E968)</f>
        <v>0</v>
      </c>
    </row>
    <row r="969" spans="3:6" x14ac:dyDescent="0.25">
      <c r="C969" s="30">
        <f>COUNTIF(PlanAktarılacakSayfa!C:C,B969)</f>
        <v>0</v>
      </c>
      <c r="F969" s="33">
        <f>COUNTIF(PlanAktarılacakSayfa!C:C,E969)</f>
        <v>0</v>
      </c>
    </row>
    <row r="970" spans="3:6" x14ac:dyDescent="0.25">
      <c r="C970" s="30">
        <f>COUNTIF(PlanAktarılacakSayfa!C:C,B970)</f>
        <v>0</v>
      </c>
      <c r="F970" s="33">
        <f>COUNTIF(PlanAktarılacakSayfa!C:C,E970)</f>
        <v>0</v>
      </c>
    </row>
    <row r="971" spans="3:6" x14ac:dyDescent="0.25">
      <c r="C971" s="30">
        <f>COUNTIF(PlanAktarılacakSayfa!C:C,B971)</f>
        <v>0</v>
      </c>
      <c r="F971" s="33">
        <f>COUNTIF(PlanAktarılacakSayfa!C:C,E971)</f>
        <v>0</v>
      </c>
    </row>
    <row r="972" spans="3:6" x14ac:dyDescent="0.25">
      <c r="C972" s="30">
        <f>COUNTIF(PlanAktarılacakSayfa!C:C,B972)</f>
        <v>0</v>
      </c>
      <c r="F972" s="33">
        <f>COUNTIF(PlanAktarılacakSayfa!C:C,E972)</f>
        <v>0</v>
      </c>
    </row>
    <row r="973" spans="3:6" x14ac:dyDescent="0.25">
      <c r="C973" s="30">
        <f>COUNTIF(PlanAktarılacakSayfa!C:C,B973)</f>
        <v>0</v>
      </c>
      <c r="F973" s="33">
        <f>COUNTIF(PlanAktarılacakSayfa!C:C,E973)</f>
        <v>0</v>
      </c>
    </row>
    <row r="974" spans="3:6" x14ac:dyDescent="0.25">
      <c r="C974" s="30">
        <f>COUNTIF(PlanAktarılacakSayfa!C:C,B974)</f>
        <v>0</v>
      </c>
      <c r="F974" s="33">
        <f>COUNTIF(PlanAktarılacakSayfa!C:C,E974)</f>
        <v>0</v>
      </c>
    </row>
    <row r="975" spans="3:6" x14ac:dyDescent="0.25">
      <c r="C975" s="30">
        <f>COUNTIF(PlanAktarılacakSayfa!C:C,B975)</f>
        <v>0</v>
      </c>
      <c r="F975" s="33">
        <f>COUNTIF(PlanAktarılacakSayfa!C:C,E975)</f>
        <v>0</v>
      </c>
    </row>
    <row r="976" spans="3:6" x14ac:dyDescent="0.25">
      <c r="C976" s="30">
        <f>COUNTIF(PlanAktarılacakSayfa!C:C,B976)</f>
        <v>0</v>
      </c>
      <c r="F976" s="33">
        <f>COUNTIF(PlanAktarılacakSayfa!C:C,E976)</f>
        <v>0</v>
      </c>
    </row>
    <row r="977" spans="3:6" x14ac:dyDescent="0.25">
      <c r="C977" s="30">
        <f>COUNTIF(PlanAktarılacakSayfa!C:C,B977)</f>
        <v>0</v>
      </c>
      <c r="F977" s="33">
        <f>COUNTIF(PlanAktarılacakSayfa!C:C,E977)</f>
        <v>0</v>
      </c>
    </row>
    <row r="978" spans="3:6" x14ac:dyDescent="0.25">
      <c r="C978" s="30">
        <f>COUNTIF(PlanAktarılacakSayfa!C:C,B978)</f>
        <v>0</v>
      </c>
      <c r="F978" s="33">
        <f>COUNTIF(PlanAktarılacakSayfa!C:C,E978)</f>
        <v>0</v>
      </c>
    </row>
    <row r="979" spans="3:6" x14ac:dyDescent="0.25">
      <c r="C979" s="30">
        <f>COUNTIF(PlanAktarılacakSayfa!C:C,B979)</f>
        <v>0</v>
      </c>
      <c r="F979" s="33">
        <f>COUNTIF(PlanAktarılacakSayfa!C:C,E979)</f>
        <v>0</v>
      </c>
    </row>
    <row r="980" spans="3:6" x14ac:dyDescent="0.25">
      <c r="C980" s="30">
        <f>COUNTIF(PlanAktarılacakSayfa!C:C,B980)</f>
        <v>0</v>
      </c>
      <c r="F980" s="33">
        <f>COUNTIF(PlanAktarılacakSayfa!C:C,E980)</f>
        <v>0</v>
      </c>
    </row>
    <row r="981" spans="3:6" x14ac:dyDescent="0.25">
      <c r="C981" s="30">
        <f>COUNTIF(PlanAktarılacakSayfa!C:C,B981)</f>
        <v>0</v>
      </c>
      <c r="F981" s="33">
        <f>COUNTIF(PlanAktarılacakSayfa!C:C,E981)</f>
        <v>0</v>
      </c>
    </row>
    <row r="982" spans="3:6" x14ac:dyDescent="0.25">
      <c r="C982" s="30">
        <f>COUNTIF(PlanAktarılacakSayfa!C:C,B982)</f>
        <v>0</v>
      </c>
      <c r="F982" s="33">
        <f>COUNTIF(PlanAktarılacakSayfa!C:C,E982)</f>
        <v>0</v>
      </c>
    </row>
    <row r="983" spans="3:6" x14ac:dyDescent="0.25">
      <c r="C983" s="30">
        <f>COUNTIF(PlanAktarılacakSayfa!C:C,B983)</f>
        <v>0</v>
      </c>
      <c r="F983" s="33">
        <f>COUNTIF(PlanAktarılacakSayfa!C:C,E983)</f>
        <v>0</v>
      </c>
    </row>
    <row r="984" spans="3:6" x14ac:dyDescent="0.25">
      <c r="C984" s="30">
        <f>COUNTIF(PlanAktarılacakSayfa!C:C,B984)</f>
        <v>0</v>
      </c>
      <c r="F984" s="33">
        <f>COUNTIF(PlanAktarılacakSayfa!C:C,E984)</f>
        <v>0</v>
      </c>
    </row>
    <row r="985" spans="3:6" x14ac:dyDescent="0.25">
      <c r="C985" s="30">
        <f>COUNTIF(PlanAktarılacakSayfa!C:C,B985)</f>
        <v>0</v>
      </c>
      <c r="F985" s="33">
        <f>COUNTIF(PlanAktarılacakSayfa!C:C,E985)</f>
        <v>0</v>
      </c>
    </row>
    <row r="986" spans="3:6" x14ac:dyDescent="0.25">
      <c r="C986" s="30">
        <f>COUNTIF(PlanAktarılacakSayfa!C:C,B986)</f>
        <v>0</v>
      </c>
      <c r="F986" s="33">
        <f>COUNTIF(PlanAktarılacakSayfa!C:C,E986)</f>
        <v>0</v>
      </c>
    </row>
    <row r="987" spans="3:6" x14ac:dyDescent="0.25">
      <c r="C987" s="30">
        <f>COUNTIF(PlanAktarılacakSayfa!C:C,B987)</f>
        <v>0</v>
      </c>
      <c r="F987" s="33">
        <f>COUNTIF(PlanAktarılacakSayfa!C:C,E987)</f>
        <v>0</v>
      </c>
    </row>
    <row r="988" spans="3:6" x14ac:dyDescent="0.25">
      <c r="C988" s="30">
        <f>COUNTIF(PlanAktarılacakSayfa!C:C,B988)</f>
        <v>0</v>
      </c>
      <c r="F988" s="33">
        <f>COUNTIF(PlanAktarılacakSayfa!C:C,E988)</f>
        <v>0</v>
      </c>
    </row>
    <row r="989" spans="3:6" x14ac:dyDescent="0.25">
      <c r="C989" s="30">
        <f>COUNTIF(PlanAktarılacakSayfa!C:C,B989)</f>
        <v>0</v>
      </c>
      <c r="F989" s="33">
        <f>COUNTIF(PlanAktarılacakSayfa!C:C,E989)</f>
        <v>0</v>
      </c>
    </row>
    <row r="990" spans="3:6" x14ac:dyDescent="0.25">
      <c r="C990" s="30">
        <f>COUNTIF(PlanAktarılacakSayfa!C:C,B990)</f>
        <v>0</v>
      </c>
      <c r="F990" s="33">
        <f>COUNTIF(PlanAktarılacakSayfa!C:C,E990)</f>
        <v>0</v>
      </c>
    </row>
    <row r="991" spans="3:6" x14ac:dyDescent="0.25">
      <c r="C991" s="30">
        <f>COUNTIF(PlanAktarılacakSayfa!C:C,B991)</f>
        <v>0</v>
      </c>
      <c r="F991" s="33">
        <f>COUNTIF(PlanAktarılacakSayfa!C:C,E991)</f>
        <v>0</v>
      </c>
    </row>
    <row r="992" spans="3:6" x14ac:dyDescent="0.25">
      <c r="C992" s="30">
        <f>COUNTIF(PlanAktarılacakSayfa!C:C,B992)</f>
        <v>0</v>
      </c>
      <c r="F992" s="33">
        <f>COUNTIF(PlanAktarılacakSayfa!C:C,E992)</f>
        <v>0</v>
      </c>
    </row>
    <row r="993" spans="3:6" x14ac:dyDescent="0.25">
      <c r="C993" s="30">
        <f>COUNTIF(PlanAktarılacakSayfa!C:C,B993)</f>
        <v>0</v>
      </c>
      <c r="F993" s="33">
        <f>COUNTIF(PlanAktarılacakSayfa!C:C,E993)</f>
        <v>0</v>
      </c>
    </row>
    <row r="994" spans="3:6" x14ac:dyDescent="0.25">
      <c r="C994" s="30">
        <f>COUNTIF(PlanAktarılacakSayfa!C:C,B994)</f>
        <v>0</v>
      </c>
      <c r="F994" s="33">
        <f>COUNTIF(PlanAktarılacakSayfa!C:C,E994)</f>
        <v>0</v>
      </c>
    </row>
    <row r="995" spans="3:6" x14ac:dyDescent="0.25">
      <c r="C995" s="30">
        <f>COUNTIF(PlanAktarılacakSayfa!C:C,B995)</f>
        <v>0</v>
      </c>
      <c r="F995" s="33">
        <f>COUNTIF(PlanAktarılacakSayfa!C:C,E995)</f>
        <v>0</v>
      </c>
    </row>
    <row r="996" spans="3:6" x14ac:dyDescent="0.25">
      <c r="C996" s="30">
        <f>COUNTIF(PlanAktarılacakSayfa!C:C,B996)</f>
        <v>0</v>
      </c>
      <c r="F996" s="33">
        <f>COUNTIF(PlanAktarılacakSayfa!C:C,E996)</f>
        <v>0</v>
      </c>
    </row>
    <row r="997" spans="3:6" x14ac:dyDescent="0.25">
      <c r="C997" s="30">
        <f>COUNTIF(PlanAktarılacakSayfa!C:C,B997)</f>
        <v>0</v>
      </c>
      <c r="F997" s="33">
        <f>COUNTIF(PlanAktarılacakSayfa!C:C,E997)</f>
        <v>0</v>
      </c>
    </row>
    <row r="998" spans="3:6" x14ac:dyDescent="0.25">
      <c r="C998" s="30">
        <f>COUNTIF(PlanAktarılacakSayfa!C:C,B998)</f>
        <v>0</v>
      </c>
      <c r="F998" s="33">
        <f>COUNTIF(PlanAktarılacakSayfa!C:C,E998)</f>
        <v>0</v>
      </c>
    </row>
    <row r="999" spans="3:6" x14ac:dyDescent="0.25">
      <c r="C999" s="30">
        <f>COUNTIF(PlanAktarılacakSayfa!C:C,B999)</f>
        <v>0</v>
      </c>
      <c r="F999" s="33">
        <f>COUNTIF(PlanAktarılacakSayfa!C:C,E999)</f>
        <v>0</v>
      </c>
    </row>
    <row r="1000" spans="3:6" x14ac:dyDescent="0.25">
      <c r="C1000" s="30">
        <f>COUNTIF(PlanAktarılacakSayfa!C:C,B1000)</f>
        <v>0</v>
      </c>
      <c r="F1000" s="33">
        <f>COUNTIF(PlanAktarılacakSayfa!C:C,E1000)</f>
        <v>0</v>
      </c>
    </row>
    <row r="1001" spans="3:6" x14ac:dyDescent="0.25">
      <c r="C1001" s="30">
        <f>COUNTIF(PlanAktarılacakSayfa!C:C,B1001)</f>
        <v>0</v>
      </c>
      <c r="F1001" s="33">
        <f>COUNTIF(PlanAktarılacakSayfa!C:C,E1001)</f>
        <v>0</v>
      </c>
    </row>
  </sheetData>
  <autoFilter ref="A2:F1001"/>
  <mergeCells count="6">
    <mergeCell ref="O1:R1"/>
    <mergeCell ref="A1:C1"/>
    <mergeCell ref="D1:F1"/>
    <mergeCell ref="A3:B3"/>
    <mergeCell ref="D3:E3"/>
    <mergeCell ref="K1:N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</vt:i4>
      </vt:variant>
    </vt:vector>
  </HeadingPairs>
  <TitlesOfParts>
    <vt:vector size="2" baseType="lpstr">
      <vt:lpstr>PlanAktarılacakSayfa</vt:lpstr>
      <vt:lpstr>Kriter!Yazdırma_Alanı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userpc</cp:lastModifiedBy>
  <cp:lastPrinted>2025-10-03T08:46:27Z</cp:lastPrinted>
  <dcterms:created xsi:type="dcterms:W3CDTF">2022-09-19T11:44:52Z</dcterms:created>
  <dcterms:modified xsi:type="dcterms:W3CDTF">2025-10-08T10:57:48Z</dcterms:modified>
</cp:coreProperties>
</file>